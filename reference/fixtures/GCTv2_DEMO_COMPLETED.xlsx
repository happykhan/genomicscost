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phl8515.sharepoint.com/sites/NGS-GlobalHealth/Shared Documents/General/PulseNet International/PulseNet Middle East/PNME Monthly Webinars/April/"/>
    </mc:Choice>
  </mc:AlternateContent>
  <xr:revisionPtr revIDLastSave="129" documentId="8_{5D86878D-03CF-4545-8221-793B6B143E6A}" xr6:coauthVersionLast="47" xr6:coauthVersionMax="47" xr10:uidLastSave="{460986E7-9418-45DE-A92A-9ED64123F1AB}"/>
  <workbookProtection workbookAlgorithmName="SHA-512" workbookHashValue="Mj5mTtH3oSWsthvHxo5ZB4G7j3I1vUF1IjP7lZH4XmP+5TCDE/uxLCoi4KR84Jj6vdZtlV7GGAngg4cv0tTLCw==" workbookSaltValue="n+l9QjHkipuYRD0DBnwaig==" workbookSpinCount="100000" lockStructure="1"/>
  <bookViews>
    <workbookView xWindow="-96" yWindow="-96" windowWidth="23232" windowHeight="13872" tabRatio="915" activeTab="8" xr2:uid="{00000000-000D-0000-FFFF-FFFF00000000}"/>
  </bookViews>
  <sheets>
    <sheet name="Cover" sheetId="17" r:id="rId1"/>
    <sheet name="Data entry" sheetId="1" r:id="rId2"/>
    <sheet name="Reagents and consumables" sheetId="3" r:id="rId3"/>
    <sheet name="Equipment" sheetId="4" r:id="rId4"/>
    <sheet name="Personnel and training" sheetId="5" r:id="rId5"/>
    <sheet name="Facility and transport" sheetId="6" r:id="rId6"/>
    <sheet name="Bioinformatics" sheetId="11" r:id="rId7"/>
    <sheet name="Quality management" sheetId="7" r:id="rId8"/>
    <sheet name="Results - USD" sheetId="16" r:id="rId9"/>
    <sheet name="Results - local currency" sheetId="18" r:id="rId10"/>
    <sheet name="Annex1_Library Prep" sheetId="2" state="hidden" r:id="rId11"/>
    <sheet name="Annex2_Equipment" sheetId="9" state="hidden" r:id="rId12"/>
    <sheet name="Annex3_Reagents and Consumables" sheetId="10" state="hidden" r:id="rId13"/>
    <sheet name="Sheet1" sheetId="12" state="hidden" r:id="rId14"/>
    <sheet name="Annex4_Coverage Sample Calc" sheetId="15" state="hidden" r:id="rId15"/>
    <sheet name="Language" sheetId="13" state="hidden" r:id="rId16"/>
  </sheets>
  <definedNames>
    <definedName name="_xlnm._FilterDatabase" localSheetId="2" hidden="1">'Reagents and consumables'!$F$105:$K$105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40" i="13" l="1"/>
  <c r="D340" i="13"/>
  <c r="E340" i="13"/>
  <c r="V8" i="2" l="1"/>
  <c r="V7" i="2"/>
  <c r="V6" i="2"/>
  <c r="G36" i="1" l="1"/>
  <c r="D36" i="1"/>
  <c r="F31" i="1"/>
  <c r="D24" i="1" l="1"/>
  <c r="G24" i="1"/>
  <c r="G18" i="1"/>
  <c r="D18" i="1"/>
  <c r="I44" i="11"/>
  <c r="I45" i="11"/>
  <c r="I46" i="11"/>
  <c r="I47" i="11"/>
  <c r="I48" i="11"/>
  <c r="I49" i="11"/>
  <c r="I50" i="11"/>
  <c r="I51" i="11"/>
  <c r="I52" i="11"/>
  <c r="I56" i="11"/>
  <c r="I57" i="11"/>
  <c r="I58" i="11"/>
  <c r="I59" i="11"/>
  <c r="I60" i="11"/>
  <c r="I61" i="11"/>
  <c r="I62" i="11"/>
  <c r="I63" i="11"/>
  <c r="I64" i="11"/>
  <c r="I65" i="11"/>
  <c r="I66" i="11"/>
  <c r="I67" i="11"/>
  <c r="I68" i="11"/>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F5" i="7"/>
  <c r="F6" i="7"/>
  <c r="F7" i="7"/>
  <c r="F8" i="7"/>
  <c r="F9" i="7"/>
  <c r="F10" i="7"/>
  <c r="F11" i="7"/>
  <c r="F12" i="7"/>
  <c r="F13" i="7"/>
  <c r="F14" i="7"/>
  <c r="F15" i="7"/>
  <c r="F16" i="7"/>
  <c r="F17" i="7"/>
  <c r="F18" i="7"/>
  <c r="F19" i="7"/>
  <c r="F20" i="7"/>
  <c r="G8" i="11" l="1"/>
  <c r="G9" i="11"/>
  <c r="G10" i="11"/>
  <c r="G11" i="11"/>
  <c r="G12" i="11"/>
  <c r="G13" i="11"/>
  <c r="G14" i="11"/>
  <c r="G15" i="11"/>
  <c r="G16" i="11"/>
  <c r="G17" i="11"/>
  <c r="G18" i="11"/>
  <c r="G19" i="11"/>
  <c r="G20" i="11"/>
  <c r="G21" i="11"/>
  <c r="G7" i="11"/>
  <c r="B1" i="13"/>
  <c r="B3" i="13" s="1"/>
  <c r="B2" i="13" l="1"/>
  <c r="B404" i="13" s="1"/>
  <c r="F32" i="1"/>
  <c r="I30" i="6" s="1"/>
  <c r="D3" i="15"/>
  <c r="C3" i="15"/>
  <c r="H89" i="10"/>
  <c r="G89" i="10"/>
  <c r="F28" i="1"/>
  <c r="C28" i="1"/>
  <c r="H26" i="3"/>
  <c r="G26" i="3"/>
  <c r="H25" i="3"/>
  <c r="G25" i="3"/>
  <c r="F29" i="11"/>
  <c r="F30" i="11"/>
  <c r="F31" i="11"/>
  <c r="I31" i="11" s="1"/>
  <c r="F32" i="11"/>
  <c r="F33" i="11"/>
  <c r="F34" i="11"/>
  <c r="I34" i="11" s="1"/>
  <c r="F35" i="11"/>
  <c r="I35" i="11" s="1"/>
  <c r="F36" i="11"/>
  <c r="I36" i="11" s="1"/>
  <c r="F37" i="11"/>
  <c r="F38" i="11"/>
  <c r="F39" i="11"/>
  <c r="I39" i="11" s="1"/>
  <c r="F40" i="11"/>
  <c r="F41" i="11"/>
  <c r="F42" i="11"/>
  <c r="F43" i="11"/>
  <c r="F44" i="11"/>
  <c r="K44" i="11" s="1"/>
  <c r="F45" i="11"/>
  <c r="F46" i="11"/>
  <c r="K46" i="11" s="1"/>
  <c r="F47" i="11"/>
  <c r="K47" i="11" s="1"/>
  <c r="F48" i="11"/>
  <c r="F49" i="11"/>
  <c r="F50" i="11"/>
  <c r="K50" i="11" s="1"/>
  <c r="F51" i="11"/>
  <c r="K51" i="11" s="1"/>
  <c r="F52" i="11"/>
  <c r="K52" i="11" s="1"/>
  <c r="F53" i="11"/>
  <c r="I53" i="11" s="1"/>
  <c r="F54" i="11"/>
  <c r="F55" i="11"/>
  <c r="F56" i="11"/>
  <c r="K56" i="11" s="1"/>
  <c r="F57" i="11"/>
  <c r="K57" i="11" s="1"/>
  <c r="F58" i="11"/>
  <c r="F59" i="11"/>
  <c r="F60" i="11"/>
  <c r="F61" i="11"/>
  <c r="F62" i="11"/>
  <c r="K62" i="11" s="1"/>
  <c r="F63" i="11"/>
  <c r="K63" i="11" s="1"/>
  <c r="F64" i="11"/>
  <c r="K64" i="11" s="1"/>
  <c r="F65" i="11"/>
  <c r="K65" i="11" s="1"/>
  <c r="F66" i="11"/>
  <c r="F67" i="11"/>
  <c r="F68" i="11"/>
  <c r="K55" i="11" l="1"/>
  <c r="I55" i="11"/>
  <c r="K54" i="11"/>
  <c r="I54" i="11"/>
  <c r="K43" i="11"/>
  <c r="I43" i="11"/>
  <c r="F349" i="13"/>
  <c r="D349" i="13"/>
  <c r="E349" i="13"/>
  <c r="K30" i="11"/>
  <c r="I30" i="11"/>
  <c r="K37" i="11"/>
  <c r="I37" i="11"/>
  <c r="K38" i="11"/>
  <c r="I38" i="11"/>
  <c r="K29" i="11"/>
  <c r="I29" i="11"/>
  <c r="K41" i="11"/>
  <c r="I41" i="11"/>
  <c r="K33" i="11"/>
  <c r="I33" i="11"/>
  <c r="K42" i="11"/>
  <c r="I42" i="11"/>
  <c r="K40" i="11"/>
  <c r="I40" i="11"/>
  <c r="K32" i="11"/>
  <c r="I32" i="11"/>
  <c r="I43" i="6"/>
  <c r="K59" i="11"/>
  <c r="F41" i="5"/>
  <c r="K61" i="11"/>
  <c r="K67" i="11"/>
  <c r="K53" i="11"/>
  <c r="I37" i="6"/>
  <c r="I35" i="6"/>
  <c r="I29" i="6"/>
  <c r="I27" i="6"/>
  <c r="K68" i="11"/>
  <c r="K60" i="11"/>
  <c r="I36" i="6"/>
  <c r="I28" i="6"/>
  <c r="K66" i="11"/>
  <c r="K58" i="11"/>
  <c r="I42" i="6"/>
  <c r="I34" i="6"/>
  <c r="I26" i="6"/>
  <c r="E1" i="9"/>
  <c r="I41" i="6"/>
  <c r="I33" i="6"/>
  <c r="I25" i="6"/>
  <c r="K36" i="11"/>
  <c r="I40" i="6"/>
  <c r="I32" i="6"/>
  <c r="I39" i="6"/>
  <c r="I31" i="6"/>
  <c r="I38" i="6"/>
  <c r="K49" i="11"/>
  <c r="K48" i="11"/>
  <c r="K45" i="11"/>
  <c r="K39" i="11"/>
  <c r="K31" i="11"/>
  <c r="K35" i="11"/>
  <c r="K34" i="11"/>
  <c r="V9" i="2" l="1"/>
  <c r="V5" i="2"/>
  <c r="I83" i="10"/>
  <c r="I82" i="10"/>
  <c r="H82" i="10" s="1"/>
  <c r="I81" i="10"/>
  <c r="H81" i="10" s="1"/>
  <c r="I80" i="10"/>
  <c r="I79" i="10"/>
  <c r="I78" i="10"/>
  <c r="I71" i="10"/>
  <c r="O3" i="10" a="1"/>
  <c r="O3" i="10" s="1"/>
  <c r="N3" i="10" a="1"/>
  <c r="N3" i="10" s="1"/>
  <c r="B16" i="2"/>
  <c r="I76" i="10" l="1"/>
  <c r="I75" i="10"/>
  <c r="F20" i="1"/>
  <c r="N3" i="15" s="1"/>
  <c r="C20" i="1"/>
  <c r="K3" i="15" s="1"/>
  <c r="I77" i="10"/>
  <c r="C15" i="1"/>
  <c r="K5" i="15" s="1"/>
  <c r="I70" i="10"/>
  <c r="I69" i="10"/>
  <c r="I68" i="10"/>
  <c r="I67" i="10"/>
  <c r="I64" i="10"/>
  <c r="I60" i="10"/>
  <c r="I59" i="10"/>
  <c r="I31" i="10"/>
  <c r="I32" i="10"/>
  <c r="I33" i="10"/>
  <c r="I34" i="10"/>
  <c r="I35" i="10"/>
  <c r="I36" i="10"/>
  <c r="I37" i="10"/>
  <c r="I38" i="10"/>
  <c r="I41" i="10"/>
  <c r="I39" i="10"/>
  <c r="I30" i="10"/>
  <c r="I40" i="10"/>
  <c r="I16" i="10" l="1"/>
  <c r="I15" i="10"/>
  <c r="I13" i="10"/>
  <c r="I12" i="10"/>
  <c r="I10" i="10"/>
  <c r="I9" i="10"/>
  <c r="I42" i="10"/>
  <c r="I52" i="10"/>
  <c r="I51" i="10"/>
  <c r="I50" i="10"/>
  <c r="I49" i="10"/>
  <c r="I48" i="10"/>
  <c r="I47" i="10"/>
  <c r="I46" i="10"/>
  <c r="I45" i="10"/>
  <c r="I44" i="10"/>
  <c r="I43" i="10"/>
  <c r="H7" i="2"/>
  <c r="H6" i="2"/>
  <c r="H5" i="2"/>
  <c r="G45" i="15"/>
  <c r="F45" i="15"/>
  <c r="C19" i="1"/>
  <c r="G5" i="4" l="1"/>
  <c r="H5" i="3"/>
  <c r="I22" i="3"/>
  <c r="I23" i="3"/>
  <c r="I24" i="3"/>
  <c r="I13" i="3"/>
  <c r="I14" i="3"/>
  <c r="J22" i="3"/>
  <c r="J23" i="3"/>
  <c r="J24" i="3"/>
  <c r="J14" i="3"/>
  <c r="J13" i="3"/>
  <c r="J12" i="3" l="1"/>
  <c r="I12" i="3"/>
  <c r="K25" i="3"/>
  <c r="O25" i="3" s="1"/>
  <c r="K26" i="3"/>
  <c r="O26" i="3" s="1"/>
  <c r="F19" i="1"/>
  <c r="F15" i="1"/>
  <c r="N5" i="15" s="1"/>
  <c r="G10" i="2"/>
  <c r="L26" i="3" l="1"/>
  <c r="L25" i="3"/>
  <c r="E4" i="2"/>
  <c r="G4" i="2"/>
  <c r="F4" i="2"/>
  <c r="D21" i="1"/>
  <c r="F14" i="2" l="1"/>
  <c r="E14" i="2"/>
  <c r="D18" i="2"/>
  <c r="H8" i="2"/>
  <c r="C17" i="2"/>
  <c r="C16" i="2"/>
  <c r="B15" i="2"/>
  <c r="B14" i="2"/>
  <c r="B8" i="2"/>
  <c r="B5" i="2"/>
  <c r="B7" i="2"/>
  <c r="B6" i="2"/>
  <c r="I74" i="10" l="1"/>
  <c r="I73" i="10"/>
  <c r="I72" i="10"/>
  <c r="I66" i="10"/>
  <c r="I65" i="10"/>
  <c r="I63" i="10"/>
  <c r="I62" i="10"/>
  <c r="I61" i="10"/>
  <c r="I58" i="10"/>
  <c r="I57" i="10"/>
  <c r="I56" i="10"/>
  <c r="I55" i="10"/>
  <c r="I54" i="10"/>
  <c r="I53" i="10"/>
  <c r="I29" i="10"/>
  <c r="I28" i="10"/>
  <c r="I27" i="10"/>
  <c r="I26" i="10"/>
  <c r="I25" i="10"/>
  <c r="I24" i="10"/>
  <c r="I23" i="10"/>
  <c r="I22" i="10"/>
  <c r="I21" i="10"/>
  <c r="I20" i="10"/>
  <c r="I19" i="10"/>
  <c r="I18" i="10"/>
  <c r="I17" i="10"/>
  <c r="I14" i="10"/>
  <c r="I11" i="10"/>
  <c r="I8" i="10"/>
  <c r="I7" i="10"/>
  <c r="I6" i="10"/>
  <c r="I5" i="10"/>
  <c r="I4" i="10"/>
  <c r="I3" i="10"/>
  <c r="F82" i="10" l="1"/>
  <c r="F81" i="10"/>
  <c r="G28" i="1"/>
  <c r="J89" i="10"/>
  <c r="C10" i="15" l="1"/>
  <c r="J15" i="3"/>
  <c r="E81" i="10" l="1"/>
  <c r="E82" i="10"/>
  <c r="D10" i="15"/>
  <c r="D7" i="15"/>
  <c r="C7" i="15"/>
  <c r="C15" i="15" s="1"/>
  <c r="E3" i="10"/>
  <c r="H53" i="2"/>
  <c r="I45" i="6"/>
  <c r="I141" i="10"/>
  <c r="I142" i="10"/>
  <c r="I143" i="10"/>
  <c r="I144" i="10"/>
  <c r="I145" i="10"/>
  <c r="D15" i="15" l="1"/>
  <c r="J9" i="2" l="1"/>
  <c r="Q7" i="2"/>
  <c r="Q6" i="2"/>
  <c r="Q5" i="2"/>
  <c r="Q4" i="2"/>
  <c r="M4" i="2"/>
  <c r="L145" i="10"/>
  <c r="L142" i="10"/>
  <c r="L141" i="10"/>
  <c r="J5" i="3"/>
  <c r="I53" i="2"/>
  <c r="S24" i="2" l="1"/>
  <c r="S23" i="2"/>
  <c r="S25" i="2"/>
  <c r="F8" i="10"/>
  <c r="F24" i="10"/>
  <c r="F32" i="10"/>
  <c r="F40" i="10"/>
  <c r="F72" i="10"/>
  <c r="F10" i="10"/>
  <c r="F26" i="10"/>
  <c r="F34" i="10"/>
  <c r="F66" i="10"/>
  <c r="F79" i="10"/>
  <c r="F11" i="10"/>
  <c r="F35" i="10"/>
  <c r="F75" i="10"/>
  <c r="F20" i="10"/>
  <c r="F28" i="10"/>
  <c r="F76" i="10"/>
  <c r="F83" i="10"/>
  <c r="F23" i="10"/>
  <c r="F31" i="10"/>
  <c r="F39" i="10"/>
  <c r="F9" i="10"/>
  <c r="F17" i="10"/>
  <c r="F25" i="10"/>
  <c r="F33" i="10"/>
  <c r="F41" i="10"/>
  <c r="F65" i="10"/>
  <c r="F73" i="10"/>
  <c r="F18" i="10"/>
  <c r="F74" i="10"/>
  <c r="F19" i="10"/>
  <c r="F27" i="10"/>
  <c r="F67" i="10"/>
  <c r="F80" i="10"/>
  <c r="F12" i="10"/>
  <c r="F36" i="10"/>
  <c r="F68" i="10"/>
  <c r="F71" i="10"/>
  <c r="F13" i="10"/>
  <c r="F21" i="10"/>
  <c r="F29" i="10"/>
  <c r="F37" i="10"/>
  <c r="F69" i="10"/>
  <c r="F77" i="10"/>
  <c r="F3" i="10"/>
  <c r="F6" i="10"/>
  <c r="F22" i="10"/>
  <c r="F30" i="10"/>
  <c r="F38" i="10"/>
  <c r="F70" i="10"/>
  <c r="F78" i="10"/>
  <c r="F7" i="10"/>
  <c r="E10" i="10"/>
  <c r="E21" i="10"/>
  <c r="E29" i="10"/>
  <c r="E37" i="10"/>
  <c r="E68" i="10"/>
  <c r="E76" i="10"/>
  <c r="E83" i="10"/>
  <c r="E23" i="10"/>
  <c r="E40" i="10"/>
  <c r="E11" i="10"/>
  <c r="E22" i="10"/>
  <c r="E30" i="10"/>
  <c r="E38" i="10"/>
  <c r="E69" i="10"/>
  <c r="E77" i="10"/>
  <c r="E31" i="10"/>
  <c r="E12" i="10"/>
  <c r="E39" i="10"/>
  <c r="E70" i="10"/>
  <c r="E78" i="10"/>
  <c r="E13" i="10"/>
  <c r="E6" i="10"/>
  <c r="E17" i="10"/>
  <c r="E25" i="10"/>
  <c r="E33" i="10"/>
  <c r="E41" i="10"/>
  <c r="E72" i="10"/>
  <c r="E27" i="10"/>
  <c r="E79" i="10"/>
  <c r="E28" i="10"/>
  <c r="E75" i="10"/>
  <c r="E32" i="10"/>
  <c r="E7" i="10"/>
  <c r="E18" i="10"/>
  <c r="E26" i="10"/>
  <c r="E34" i="10"/>
  <c r="E65" i="10"/>
  <c r="E73" i="10"/>
  <c r="E8" i="10"/>
  <c r="E35" i="10"/>
  <c r="E74" i="10"/>
  <c r="E9" i="10"/>
  <c r="E67" i="10"/>
  <c r="E24" i="10"/>
  <c r="E19" i="10"/>
  <c r="E66" i="10"/>
  <c r="E20" i="10"/>
  <c r="E36" i="10"/>
  <c r="E80" i="10"/>
  <c r="E71" i="10"/>
  <c r="I50" i="2"/>
  <c r="C349" i="13"/>
  <c r="D6" i="15"/>
  <c r="D11" i="15" s="1"/>
  <c r="C6" i="15"/>
  <c r="C11" i="15" s="1"/>
  <c r="D5" i="15"/>
  <c r="D4" i="15"/>
  <c r="D8" i="15" s="1"/>
  <c r="N4" i="15" s="1"/>
  <c r="N6" i="15" s="1"/>
  <c r="N7" i="15" s="1"/>
  <c r="D16" i="15" s="1"/>
  <c r="H91" i="10"/>
  <c r="H140" i="10" s="1"/>
  <c r="L143" i="10"/>
  <c r="L144" i="10"/>
  <c r="K141" i="10"/>
  <c r="K142" i="10"/>
  <c r="K143" i="10"/>
  <c r="K144" i="10"/>
  <c r="K145" i="10"/>
  <c r="F117" i="10"/>
  <c r="I109" i="10"/>
  <c r="I119" i="10"/>
  <c r="I120" i="10"/>
  <c r="H50" i="2"/>
  <c r="K26" i="6"/>
  <c r="K27" i="6"/>
  <c r="K28" i="6"/>
  <c r="K29" i="6"/>
  <c r="K30" i="6"/>
  <c r="K31" i="6"/>
  <c r="K32" i="6"/>
  <c r="K33" i="6"/>
  <c r="K34" i="6"/>
  <c r="K35" i="6"/>
  <c r="K36" i="6"/>
  <c r="K37" i="6"/>
  <c r="K38" i="6"/>
  <c r="K39" i="6"/>
  <c r="K40" i="6"/>
  <c r="K41" i="6"/>
  <c r="K42" i="6"/>
  <c r="K43" i="6"/>
  <c r="K25" i="6"/>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M7" i="2"/>
  <c r="M6" i="2"/>
  <c r="M5" i="2"/>
  <c r="H57" i="3" s="1"/>
  <c r="D4" i="2"/>
  <c r="C4" i="2"/>
  <c r="F15" i="2"/>
  <c r="F13" i="2"/>
  <c r="F12" i="2"/>
  <c r="F11" i="2"/>
  <c r="F10" i="2"/>
  <c r="F9" i="2"/>
  <c r="F8" i="2"/>
  <c r="F7" i="2"/>
  <c r="F6" i="2"/>
  <c r="F5" i="2"/>
  <c r="D19" i="2"/>
  <c r="D17" i="2"/>
  <c r="D16" i="2"/>
  <c r="D15" i="2"/>
  <c r="D14" i="2"/>
  <c r="D13" i="2"/>
  <c r="D12" i="2"/>
  <c r="D9" i="2"/>
  <c r="D8" i="2"/>
  <c r="D7" i="2"/>
  <c r="D6" i="2"/>
  <c r="D5" i="2"/>
  <c r="D11" i="2"/>
  <c r="C18" i="2"/>
  <c r="C15" i="2"/>
  <c r="C14" i="2"/>
  <c r="C13" i="2"/>
  <c r="C12" i="2"/>
  <c r="C11" i="2"/>
  <c r="C10" i="2"/>
  <c r="C8" i="2"/>
  <c r="C7" i="2"/>
  <c r="C5" i="2"/>
  <c r="C9" i="2"/>
  <c r="E8" i="2"/>
  <c r="E15" i="2"/>
  <c r="E13" i="2"/>
  <c r="E12" i="2"/>
  <c r="E11" i="2"/>
  <c r="E10" i="2"/>
  <c r="E9" i="2"/>
  <c r="E7" i="2"/>
  <c r="E6" i="2"/>
  <c r="E5" i="2"/>
  <c r="G9" i="2"/>
  <c r="D21" i="2"/>
  <c r="D20" i="2"/>
  <c r="G8" i="2"/>
  <c r="G7" i="2"/>
  <c r="B13" i="2"/>
  <c r="B12" i="2"/>
  <c r="B11" i="2"/>
  <c r="B10" i="2"/>
  <c r="B9" i="2"/>
  <c r="D10" i="2"/>
  <c r="C6" i="2"/>
  <c r="G6" i="2"/>
  <c r="G5" i="2"/>
  <c r="H83" i="10"/>
  <c r="H80" i="10"/>
  <c r="H79" i="10"/>
  <c r="H78" i="10"/>
  <c r="H77" i="10"/>
  <c r="H76" i="10"/>
  <c r="H75" i="10"/>
  <c r="H74" i="10"/>
  <c r="H73" i="10"/>
  <c r="H72" i="10"/>
  <c r="H65" i="10"/>
  <c r="H66" i="10"/>
  <c r="H69" i="10"/>
  <c r="H68" i="10"/>
  <c r="H60" i="10"/>
  <c r="H63" i="10"/>
  <c r="H64" i="10"/>
  <c r="D64" i="10"/>
  <c r="D62" i="10"/>
  <c r="D63" i="10"/>
  <c r="G147" i="2"/>
  <c r="G146" i="2"/>
  <c r="K66" i="2"/>
  <c r="D126" i="10"/>
  <c r="K52" i="2"/>
  <c r="J60" i="2"/>
  <c r="H30" i="10"/>
  <c r="G135" i="2"/>
  <c r="G131" i="2"/>
  <c r="G139" i="2"/>
  <c r="G112" i="2"/>
  <c r="G106" i="2"/>
  <c r="G113" i="2"/>
  <c r="G105" i="2"/>
  <c r="G99" i="2"/>
  <c r="G98" i="2"/>
  <c r="D23" i="15" l="1"/>
  <c r="I135" i="2"/>
  <c r="H135" i="2"/>
  <c r="H106" i="2"/>
  <c r="I106" i="2"/>
  <c r="H98" i="2"/>
  <c r="I98" i="2"/>
  <c r="H99" i="2"/>
  <c r="I99" i="2"/>
  <c r="H105" i="2"/>
  <c r="I105" i="2"/>
  <c r="H113" i="2"/>
  <c r="I113" i="2"/>
  <c r="H196" i="2"/>
  <c r="H171" i="2"/>
  <c r="H156" i="2"/>
  <c r="H123" i="2"/>
  <c r="H115" i="2"/>
  <c r="H107" i="2"/>
  <c r="H91" i="2"/>
  <c r="H83" i="2"/>
  <c r="H75" i="2"/>
  <c r="H67" i="2"/>
  <c r="H58" i="2"/>
  <c r="H150" i="2"/>
  <c r="H94" i="2"/>
  <c r="H116" i="2"/>
  <c r="H194" i="2"/>
  <c r="H167" i="2"/>
  <c r="H155" i="2"/>
  <c r="H138" i="2"/>
  <c r="H130" i="2"/>
  <c r="H122" i="2"/>
  <c r="H114" i="2"/>
  <c r="H90" i="2"/>
  <c r="H82" i="2"/>
  <c r="H74" i="2"/>
  <c r="H66" i="2"/>
  <c r="H57" i="2"/>
  <c r="H142" i="2"/>
  <c r="H126" i="2"/>
  <c r="H102" i="2"/>
  <c r="H70" i="2"/>
  <c r="H108" i="2"/>
  <c r="H189" i="2"/>
  <c r="H166" i="2"/>
  <c r="H154" i="2"/>
  <c r="H145" i="2"/>
  <c r="H137" i="2"/>
  <c r="H129" i="2"/>
  <c r="H121" i="2"/>
  <c r="H97" i="2"/>
  <c r="H89" i="2"/>
  <c r="H81" i="2"/>
  <c r="H73" i="2"/>
  <c r="H65" i="2"/>
  <c r="H56" i="2"/>
  <c r="H163" i="2"/>
  <c r="H78" i="2"/>
  <c r="H124" i="2"/>
  <c r="H185" i="2"/>
  <c r="H165" i="2"/>
  <c r="H152" i="2"/>
  <c r="H144" i="2"/>
  <c r="H136" i="2"/>
  <c r="H128" i="2"/>
  <c r="H120" i="2"/>
  <c r="H104" i="2"/>
  <c r="H96" i="2"/>
  <c r="H88" i="2"/>
  <c r="H80" i="2"/>
  <c r="H72" i="2"/>
  <c r="H64" i="2"/>
  <c r="H55" i="2"/>
  <c r="H181" i="2"/>
  <c r="H110" i="2"/>
  <c r="H62" i="2"/>
  <c r="H100" i="2"/>
  <c r="H200" i="2"/>
  <c r="H182" i="2"/>
  <c r="H164" i="2"/>
  <c r="H151" i="2"/>
  <c r="H143" i="2"/>
  <c r="H127" i="2"/>
  <c r="H119" i="2"/>
  <c r="H111" i="2"/>
  <c r="H103" i="2"/>
  <c r="H95" i="2"/>
  <c r="H87" i="2"/>
  <c r="H79" i="2"/>
  <c r="H71" i="2"/>
  <c r="H63" i="2"/>
  <c r="H52" i="2"/>
  <c r="H199" i="2"/>
  <c r="H134" i="2"/>
  <c r="H118" i="2"/>
  <c r="H86" i="2"/>
  <c r="H92" i="2"/>
  <c r="H59" i="2"/>
  <c r="H198" i="2"/>
  <c r="H177" i="2"/>
  <c r="H158" i="2"/>
  <c r="H149" i="2"/>
  <c r="H141" i="2"/>
  <c r="H133" i="2"/>
  <c r="H125" i="2"/>
  <c r="H117" i="2"/>
  <c r="H109" i="2"/>
  <c r="H101" i="2"/>
  <c r="H93" i="2"/>
  <c r="H85" i="2"/>
  <c r="H77" i="2"/>
  <c r="H69" i="2"/>
  <c r="H60" i="2"/>
  <c r="H197" i="2"/>
  <c r="H173" i="2"/>
  <c r="H157" i="2"/>
  <c r="H148" i="2"/>
  <c r="H140" i="2"/>
  <c r="H132" i="2"/>
  <c r="H84" i="2"/>
  <c r="H76" i="2"/>
  <c r="H68" i="2"/>
  <c r="H112" i="2"/>
  <c r="I112" i="2"/>
  <c r="L4" i="2" a="1"/>
  <c r="L4" i="2" s="1"/>
  <c r="S4" i="2" s="1"/>
  <c r="H147" i="2"/>
  <c r="I147" i="2"/>
  <c r="H139" i="2"/>
  <c r="I139" i="2"/>
  <c r="I197" i="2"/>
  <c r="I173" i="2"/>
  <c r="I157" i="2"/>
  <c r="I148" i="2"/>
  <c r="I140" i="2"/>
  <c r="I132" i="2"/>
  <c r="I124" i="2"/>
  <c r="I116" i="2"/>
  <c r="I108" i="2"/>
  <c r="I100" i="2"/>
  <c r="I92" i="2"/>
  <c r="I84" i="2"/>
  <c r="I76" i="2"/>
  <c r="I68" i="2"/>
  <c r="I59" i="2"/>
  <c r="I200" i="2"/>
  <c r="I151" i="2"/>
  <c r="I111" i="2"/>
  <c r="I71" i="2"/>
  <c r="I85" i="2"/>
  <c r="I196" i="2"/>
  <c r="I171" i="2"/>
  <c r="I156" i="2"/>
  <c r="I123" i="2"/>
  <c r="I115" i="2"/>
  <c r="I107" i="2"/>
  <c r="I91" i="2"/>
  <c r="I83" i="2"/>
  <c r="I75" i="2"/>
  <c r="I67" i="2"/>
  <c r="I58" i="2"/>
  <c r="I182" i="2"/>
  <c r="I127" i="2"/>
  <c r="I95" i="2"/>
  <c r="I63" i="2"/>
  <c r="I149" i="2"/>
  <c r="I109" i="2"/>
  <c r="I60" i="2"/>
  <c r="I194" i="2"/>
  <c r="I167" i="2"/>
  <c r="I155" i="2"/>
  <c r="I138" i="2"/>
  <c r="I130" i="2"/>
  <c r="I122" i="2"/>
  <c r="I114" i="2"/>
  <c r="I90" i="2"/>
  <c r="I82" i="2"/>
  <c r="I74" i="2"/>
  <c r="I66" i="2"/>
  <c r="I57" i="2"/>
  <c r="I87" i="2"/>
  <c r="I133" i="2"/>
  <c r="I77" i="2"/>
  <c r="I189" i="2"/>
  <c r="I166" i="2"/>
  <c r="I154" i="2"/>
  <c r="I145" i="2"/>
  <c r="I137" i="2"/>
  <c r="I129" i="2"/>
  <c r="I121" i="2"/>
  <c r="I97" i="2"/>
  <c r="I89" i="2"/>
  <c r="I81" i="2"/>
  <c r="I73" i="2"/>
  <c r="I65" i="2"/>
  <c r="I56" i="2"/>
  <c r="I143" i="2"/>
  <c r="I103" i="2"/>
  <c r="I52" i="2"/>
  <c r="I101" i="2"/>
  <c r="I185" i="2"/>
  <c r="I165" i="2"/>
  <c r="I152" i="2"/>
  <c r="I144" i="2"/>
  <c r="I136" i="2"/>
  <c r="I128" i="2"/>
  <c r="I120" i="2"/>
  <c r="I104" i="2"/>
  <c r="I96" i="2"/>
  <c r="I88" i="2"/>
  <c r="I80" i="2"/>
  <c r="I72" i="2"/>
  <c r="I64" i="2"/>
  <c r="I55" i="2"/>
  <c r="I164" i="2"/>
  <c r="I119" i="2"/>
  <c r="I79" i="2"/>
  <c r="I158" i="2"/>
  <c r="I125" i="2"/>
  <c r="I93" i="2"/>
  <c r="I199" i="2"/>
  <c r="I181" i="2"/>
  <c r="I163" i="2"/>
  <c r="I150" i="2"/>
  <c r="I142" i="2"/>
  <c r="I134" i="2"/>
  <c r="I126" i="2"/>
  <c r="I118" i="2"/>
  <c r="I110" i="2"/>
  <c r="I102" i="2"/>
  <c r="I94" i="2"/>
  <c r="I86" i="2"/>
  <c r="I78" i="2"/>
  <c r="I70" i="2"/>
  <c r="I62" i="2"/>
  <c r="I198" i="2"/>
  <c r="I177" i="2"/>
  <c r="I141" i="2"/>
  <c r="I117" i="2"/>
  <c r="I69" i="2"/>
  <c r="H131" i="2"/>
  <c r="I131" i="2"/>
  <c r="H146" i="2"/>
  <c r="I146" i="2"/>
  <c r="L102" i="3"/>
  <c r="O102" i="3"/>
  <c r="L78" i="3"/>
  <c r="O78" i="3"/>
  <c r="L104" i="3"/>
  <c r="O104" i="3"/>
  <c r="L96" i="3"/>
  <c r="O96" i="3"/>
  <c r="L88" i="3"/>
  <c r="O88" i="3"/>
  <c r="L80" i="3"/>
  <c r="O80" i="3"/>
  <c r="L72" i="3"/>
  <c r="O72" i="3"/>
  <c r="L64" i="3"/>
  <c r="O64" i="3"/>
  <c r="L103" i="3"/>
  <c r="O103" i="3"/>
  <c r="L95" i="3"/>
  <c r="O95" i="3"/>
  <c r="L87" i="3"/>
  <c r="O87" i="3"/>
  <c r="L79" i="3"/>
  <c r="O79" i="3"/>
  <c r="L71" i="3"/>
  <c r="O71" i="3"/>
  <c r="L63" i="3"/>
  <c r="O63" i="3"/>
  <c r="L94" i="3"/>
  <c r="O94" i="3"/>
  <c r="L85" i="3"/>
  <c r="O85" i="3"/>
  <c r="L100" i="3"/>
  <c r="O100" i="3"/>
  <c r="L92" i="3"/>
  <c r="O92" i="3"/>
  <c r="L84" i="3"/>
  <c r="O84" i="3"/>
  <c r="L76" i="3"/>
  <c r="O76" i="3"/>
  <c r="L68" i="3"/>
  <c r="O68" i="3"/>
  <c r="L60" i="3"/>
  <c r="O60" i="3"/>
  <c r="L62" i="3"/>
  <c r="O62" i="3"/>
  <c r="L101" i="3"/>
  <c r="O101" i="3"/>
  <c r="L69" i="3"/>
  <c r="O69" i="3"/>
  <c r="L99" i="3"/>
  <c r="O99" i="3"/>
  <c r="L91" i="3"/>
  <c r="O91" i="3"/>
  <c r="L83" i="3"/>
  <c r="O83" i="3"/>
  <c r="L75" i="3"/>
  <c r="O75" i="3"/>
  <c r="L67" i="3"/>
  <c r="O67" i="3"/>
  <c r="L70" i="3"/>
  <c r="O70" i="3"/>
  <c r="L77" i="3"/>
  <c r="O77" i="3"/>
  <c r="L98" i="3"/>
  <c r="O98" i="3"/>
  <c r="L90" i="3"/>
  <c r="O90" i="3"/>
  <c r="L82" i="3"/>
  <c r="O82" i="3"/>
  <c r="L74" i="3"/>
  <c r="O74" i="3"/>
  <c r="L66" i="3"/>
  <c r="O66" i="3"/>
  <c r="L86" i="3"/>
  <c r="O86" i="3"/>
  <c r="L93" i="3"/>
  <c r="O93" i="3"/>
  <c r="L61" i="3"/>
  <c r="O61" i="3"/>
  <c r="L105" i="3"/>
  <c r="O105" i="3"/>
  <c r="L97" i="3"/>
  <c r="O97" i="3"/>
  <c r="L89" i="3"/>
  <c r="O89" i="3"/>
  <c r="L81" i="3"/>
  <c r="O81" i="3"/>
  <c r="L73" i="3"/>
  <c r="O73" i="3"/>
  <c r="L65" i="3"/>
  <c r="O65" i="3"/>
  <c r="C23" i="15"/>
  <c r="O24" i="2"/>
  <c r="O23" i="2"/>
  <c r="S20" i="2"/>
  <c r="S19" i="2"/>
  <c r="S21" i="2"/>
  <c r="S22" i="2"/>
  <c r="S18" i="2"/>
  <c r="S15" i="2"/>
  <c r="S16" i="2"/>
  <c r="S9" i="2"/>
  <c r="S17" i="2"/>
  <c r="S11" i="2"/>
  <c r="S12" i="2"/>
  <c r="J5" i="4"/>
  <c r="H5" i="4"/>
  <c r="E63" i="10"/>
  <c r="F63" i="10"/>
  <c r="E62" i="10"/>
  <c r="F62" i="10"/>
  <c r="E64" i="10"/>
  <c r="F64" i="10"/>
  <c r="D9" i="15"/>
  <c r="D17" i="15" s="1"/>
  <c r="H97" i="10"/>
  <c r="G97" i="10"/>
  <c r="E28" i="9"/>
  <c r="E66" i="9"/>
  <c r="E65" i="9"/>
  <c r="E58" i="9"/>
  <c r="E56" i="9"/>
  <c r="E55" i="9"/>
  <c r="E54" i="9"/>
  <c r="E53" i="9"/>
  <c r="E52" i="9"/>
  <c r="E51" i="9"/>
  <c r="E50" i="9"/>
  <c r="E49" i="9"/>
  <c r="E48" i="9"/>
  <c r="E47" i="9"/>
  <c r="E46" i="9"/>
  <c r="E45" i="9"/>
  <c r="E43" i="9"/>
  <c r="E42" i="9"/>
  <c r="E39" i="9"/>
  <c r="E38" i="9"/>
  <c r="E37" i="9"/>
  <c r="E36" i="9"/>
  <c r="E34" i="9"/>
  <c r="E32" i="9"/>
  <c r="E30" i="9"/>
  <c r="E31" i="9"/>
  <c r="E29" i="9"/>
  <c r="E27" i="9"/>
  <c r="E26" i="9"/>
  <c r="G124" i="10"/>
  <c r="G128" i="10"/>
  <c r="L140" i="10"/>
  <c r="H90" i="10"/>
  <c r="G91" i="10"/>
  <c r="H136" i="10"/>
  <c r="L136" i="10" s="1"/>
  <c r="H94" i="10"/>
  <c r="H100" i="10"/>
  <c r="H113" i="10"/>
  <c r="G90" i="10"/>
  <c r="H122" i="10"/>
  <c r="H104" i="10"/>
  <c r="H135" i="10"/>
  <c r="L135" i="10" s="1"/>
  <c r="H95" i="10"/>
  <c r="H101" i="10"/>
  <c r="H105" i="10"/>
  <c r="H110" i="10"/>
  <c r="H114" i="10"/>
  <c r="H123" i="10"/>
  <c r="G125" i="10"/>
  <c r="H117" i="10"/>
  <c r="H96" i="10"/>
  <c r="H102" i="10"/>
  <c r="H106" i="10"/>
  <c r="H111" i="10"/>
  <c r="H124" i="10"/>
  <c r="G126" i="10"/>
  <c r="G134" i="10"/>
  <c r="H134" i="10"/>
  <c r="L134" i="10" s="1"/>
  <c r="H103" i="10"/>
  <c r="H107" i="10"/>
  <c r="H112" i="10"/>
  <c r="H93" i="10"/>
  <c r="G127" i="10"/>
  <c r="K58" i="3"/>
  <c r="K59" i="3"/>
  <c r="H62" i="10"/>
  <c r="A9" i="15"/>
  <c r="A10" i="15"/>
  <c r="A15" i="15" s="1"/>
  <c r="A16" i="15" s="1"/>
  <c r="H36" i="10"/>
  <c r="J4" i="2"/>
  <c r="K4" i="2" s="1" a="1"/>
  <c r="K4" i="2" s="1"/>
  <c r="D61" i="10"/>
  <c r="D60" i="10"/>
  <c r="D59" i="10"/>
  <c r="D42" i="10"/>
  <c r="D16" i="10"/>
  <c r="D15" i="10"/>
  <c r="D14" i="10"/>
  <c r="D5" i="10"/>
  <c r="D4" i="10"/>
  <c r="D137" i="10"/>
  <c r="H137" i="10" s="1"/>
  <c r="L137" i="10" s="1"/>
  <c r="F121" i="10"/>
  <c r="H121" i="10" s="1"/>
  <c r="F115" i="10"/>
  <c r="H115" i="10" s="1"/>
  <c r="F108" i="10"/>
  <c r="H108" i="10" s="1"/>
  <c r="H59" i="10"/>
  <c r="H61" i="10"/>
  <c r="H71" i="10"/>
  <c r="H70" i="10"/>
  <c r="H67" i="10"/>
  <c r="H41" i="10"/>
  <c r="H40" i="10"/>
  <c r="H39" i="10"/>
  <c r="H38" i="10"/>
  <c r="H37" i="10"/>
  <c r="H35" i="10"/>
  <c r="H34" i="10"/>
  <c r="H33" i="10"/>
  <c r="H32" i="10"/>
  <c r="H31" i="10"/>
  <c r="H29" i="10"/>
  <c r="H28" i="10"/>
  <c r="H27" i="10"/>
  <c r="H26" i="10"/>
  <c r="H25" i="10"/>
  <c r="H24" i="10"/>
  <c r="H23" i="10"/>
  <c r="H22" i="10"/>
  <c r="H21" i="10"/>
  <c r="H20" i="10"/>
  <c r="H19" i="10"/>
  <c r="H18" i="10"/>
  <c r="H17" i="10"/>
  <c r="H14" i="10"/>
  <c r="H15" i="10"/>
  <c r="H16" i="10"/>
  <c r="H13" i="10"/>
  <c r="H12" i="10"/>
  <c r="H11" i="10"/>
  <c r="H10" i="10"/>
  <c r="H9" i="10"/>
  <c r="H8" i="10"/>
  <c r="H6" i="10"/>
  <c r="H4" i="10"/>
  <c r="H5" i="10"/>
  <c r="H3" i="10"/>
  <c r="H7" i="10"/>
  <c r="S10" i="2" l="1"/>
  <c r="S13" i="2"/>
  <c r="S14" i="2"/>
  <c r="S7" i="2"/>
  <c r="S8" i="2"/>
  <c r="S6" i="2"/>
  <c r="S5" i="2"/>
  <c r="L59" i="3"/>
  <c r="O59" i="3"/>
  <c r="L58" i="3"/>
  <c r="O58" i="3"/>
  <c r="O22" i="2"/>
  <c r="O25" i="2"/>
  <c r="K5" i="4"/>
  <c r="N5" i="4" s="1"/>
  <c r="E4" i="10"/>
  <c r="F4" i="10"/>
  <c r="E5" i="10"/>
  <c r="F5" i="10"/>
  <c r="E14" i="10"/>
  <c r="F14" i="10"/>
  <c r="E15" i="10"/>
  <c r="F15" i="10"/>
  <c r="E16" i="10"/>
  <c r="F16" i="10"/>
  <c r="E42" i="10"/>
  <c r="F42" i="10"/>
  <c r="E59" i="10"/>
  <c r="F59" i="10"/>
  <c r="E60" i="10"/>
  <c r="F60" i="10"/>
  <c r="E61" i="10"/>
  <c r="F61" i="10"/>
  <c r="H139" i="10"/>
  <c r="L139" i="10" s="1"/>
  <c r="H132" i="10"/>
  <c r="L132" i="10" s="1"/>
  <c r="H138" i="10"/>
  <c r="L138" i="10" s="1"/>
  <c r="H133" i="10"/>
  <c r="L133" i="10" s="1"/>
  <c r="G139" i="10"/>
  <c r="K139" i="10" s="1"/>
  <c r="G138" i="10"/>
  <c r="K138" i="10" s="1"/>
  <c r="G111" i="10"/>
  <c r="G140" i="10"/>
  <c r="G133" i="10"/>
  <c r="K133" i="10" s="1"/>
  <c r="G132" i="10"/>
  <c r="K132" i="10" s="1"/>
  <c r="G93" i="10"/>
  <c r="H129" i="10"/>
  <c r="AA5" i="4"/>
  <c r="AC5" i="4" s="1"/>
  <c r="H98" i="10"/>
  <c r="H116" i="10"/>
  <c r="G99" i="10"/>
  <c r="G112" i="10"/>
  <c r="G136" i="10"/>
  <c r="I136" i="10" s="1"/>
  <c r="G123" i="10"/>
  <c r="H118" i="10"/>
  <c r="H99" i="10"/>
  <c r="G116" i="10"/>
  <c r="G98" i="10"/>
  <c r="G129" i="10"/>
  <c r="G101" i="10"/>
  <c r="G100" i="10"/>
  <c r="G106" i="10"/>
  <c r="G94" i="10"/>
  <c r="G122" i="10"/>
  <c r="G118" i="10"/>
  <c r="G110" i="10"/>
  <c r="G103" i="10"/>
  <c r="G121" i="10"/>
  <c r="G137" i="10"/>
  <c r="K137" i="10" s="1"/>
  <c r="G102" i="10"/>
  <c r="G95" i="10"/>
  <c r="G113" i="10"/>
  <c r="G117" i="10"/>
  <c r="G114" i="10"/>
  <c r="G108" i="10"/>
  <c r="G107" i="10"/>
  <c r="G135" i="10"/>
  <c r="K135" i="10" s="1"/>
  <c r="G115" i="10"/>
  <c r="G96" i="10"/>
  <c r="G105" i="10"/>
  <c r="G104" i="10"/>
  <c r="K134" i="10"/>
  <c r="I134" i="10"/>
  <c r="D56" i="10"/>
  <c r="D44" i="10"/>
  <c r="D57" i="10"/>
  <c r="D54" i="10"/>
  <c r="D55" i="10"/>
  <c r="D43" i="10"/>
  <c r="D22" i="15" s="1"/>
  <c r="D58" i="10"/>
  <c r="D53" i="10"/>
  <c r="D52" i="10"/>
  <c r="D51" i="10"/>
  <c r="D50" i="10"/>
  <c r="D49" i="10"/>
  <c r="D48" i="10"/>
  <c r="D47" i="10"/>
  <c r="D46" i="10"/>
  <c r="D45" i="10"/>
  <c r="A17" i="15"/>
  <c r="C5" i="15"/>
  <c r="C4" i="15"/>
  <c r="T7" i="2" l="1" a="1"/>
  <c r="T7" i="2" s="1"/>
  <c r="T12" i="2" a="1"/>
  <c r="T12" i="2" s="1"/>
  <c r="T27" i="2" a="1"/>
  <c r="T27" i="2" s="1"/>
  <c r="T23" i="2" a="1"/>
  <c r="T23" i="2" s="1"/>
  <c r="T26" i="2" a="1"/>
  <c r="T26" i="2" s="1"/>
  <c r="T10" i="2" a="1"/>
  <c r="T10" i="2" s="1"/>
  <c r="T21" i="2" a="1"/>
  <c r="T21" i="2" s="1"/>
  <c r="T11" i="2" a="1"/>
  <c r="T11" i="2" s="1"/>
  <c r="T9" i="2" a="1"/>
  <c r="T9" i="2" s="1"/>
  <c r="T24" i="2" a="1"/>
  <c r="T24" i="2" s="1"/>
  <c r="T19" i="2" a="1"/>
  <c r="T19" i="2" s="1"/>
  <c r="T6" i="2" a="1"/>
  <c r="T6" i="2" s="1"/>
  <c r="T14" i="2" a="1"/>
  <c r="T14" i="2" s="1"/>
  <c r="T25" i="2" a="1"/>
  <c r="T25" i="2" s="1"/>
  <c r="T22" i="2" a="1"/>
  <c r="T22" i="2" s="1"/>
  <c r="T8" i="2" a="1"/>
  <c r="T8" i="2" s="1"/>
  <c r="T18" i="2" a="1"/>
  <c r="T18" i="2" s="1"/>
  <c r="T15" i="2" a="1"/>
  <c r="T15" i="2" s="1"/>
  <c r="T17" i="2" a="1"/>
  <c r="T17" i="2" s="1"/>
  <c r="T16" i="2" a="1"/>
  <c r="T16" i="2" s="1"/>
  <c r="T13" i="2" a="1"/>
  <c r="T13" i="2" s="1"/>
  <c r="T20" i="2" a="1"/>
  <c r="T20" i="2" s="1"/>
  <c r="C22" i="15"/>
  <c r="C8" i="15"/>
  <c r="O4" i="2"/>
  <c r="O7" i="2"/>
  <c r="O18" i="2"/>
  <c r="O8" i="2"/>
  <c r="O16" i="2"/>
  <c r="O21" i="2"/>
  <c r="O10" i="2"/>
  <c r="O12" i="2"/>
  <c r="O14" i="2"/>
  <c r="O20" i="2"/>
  <c r="O19" i="2"/>
  <c r="O13" i="2"/>
  <c r="O17" i="2"/>
  <c r="O11" i="2"/>
  <c r="O5" i="2"/>
  <c r="O15" i="2"/>
  <c r="O6" i="2"/>
  <c r="O9" i="2"/>
  <c r="C9" i="15"/>
  <c r="E49" i="10"/>
  <c r="F49" i="10"/>
  <c r="E46" i="10"/>
  <c r="F46" i="10"/>
  <c r="E50" i="10"/>
  <c r="F50" i="10"/>
  <c r="E58" i="10"/>
  <c r="F58" i="10"/>
  <c r="E57" i="10"/>
  <c r="F57" i="10"/>
  <c r="E54" i="10"/>
  <c r="F54" i="10"/>
  <c r="E51" i="10"/>
  <c r="F51" i="10"/>
  <c r="E43" i="10"/>
  <c r="F43" i="10"/>
  <c r="E44" i="10"/>
  <c r="F44" i="10"/>
  <c r="E45" i="10"/>
  <c r="I5" i="3" s="1"/>
  <c r="F45" i="10"/>
  <c r="E53" i="10"/>
  <c r="F53" i="10"/>
  <c r="E47" i="10"/>
  <c r="F47" i="10"/>
  <c r="E48" i="10"/>
  <c r="F48" i="10"/>
  <c r="E52" i="10"/>
  <c r="F52" i="10"/>
  <c r="E55" i="10"/>
  <c r="F55" i="10"/>
  <c r="E56" i="10"/>
  <c r="F56" i="10"/>
  <c r="D19" i="15"/>
  <c r="AB5" i="4"/>
  <c r="A5" i="4" s="1"/>
  <c r="I129" i="10"/>
  <c r="I140" i="10"/>
  <c r="K140" i="10"/>
  <c r="I98" i="10"/>
  <c r="L146" i="10"/>
  <c r="L147" i="10" s="1"/>
  <c r="I116" i="10"/>
  <c r="K136" i="10"/>
  <c r="I118" i="10"/>
  <c r="I137" i="10"/>
  <c r="I133" i="10"/>
  <c r="I99" i="10"/>
  <c r="I135" i="10"/>
  <c r="I139" i="10"/>
  <c r="I138" i="10"/>
  <c r="I132" i="10"/>
  <c r="K4" i="15" l="1"/>
  <c r="K6" i="15" s="1"/>
  <c r="K7" i="15" s="1"/>
  <c r="C16" i="15" s="1"/>
  <c r="C17" i="15" s="1"/>
  <c r="I15" i="3"/>
  <c r="K15" i="3" s="1"/>
  <c r="P22" i="2" a="1"/>
  <c r="P22" i="2" s="1"/>
  <c r="P6" i="2" a="1"/>
  <c r="P6" i="2" s="1"/>
  <c r="P19" i="2" a="1"/>
  <c r="P19" i="2" s="1"/>
  <c r="P27" i="2" a="1"/>
  <c r="P27" i="2" s="1"/>
  <c r="P10" i="2" a="1"/>
  <c r="P10" i="2" s="1"/>
  <c r="P26" i="2" a="1"/>
  <c r="P26" i="2" s="1"/>
  <c r="P16" i="2" a="1"/>
  <c r="P16" i="2" s="1"/>
  <c r="P8" i="2" a="1"/>
  <c r="P8" i="2" s="1"/>
  <c r="P7" i="2" a="1"/>
  <c r="P7" i="2" s="1"/>
  <c r="P17" i="2" a="1"/>
  <c r="P17" i="2" s="1"/>
  <c r="P11" i="2" a="1"/>
  <c r="P11" i="2" s="1"/>
  <c r="P15" i="2" a="1"/>
  <c r="P15" i="2" s="1"/>
  <c r="P14" i="2" a="1"/>
  <c r="P14" i="2" s="1"/>
  <c r="P13" i="2" a="1"/>
  <c r="P13" i="2" s="1"/>
  <c r="P20" i="2" a="1"/>
  <c r="P20" i="2" s="1"/>
  <c r="P21" i="2" a="1"/>
  <c r="P21" i="2" s="1"/>
  <c r="P23" i="2" a="1"/>
  <c r="P23" i="2" s="1"/>
  <c r="P24" i="2" a="1"/>
  <c r="P24" i="2" s="1"/>
  <c r="P25" i="2" a="1"/>
  <c r="P25" i="2" s="1"/>
  <c r="P18" i="2" a="1"/>
  <c r="P18" i="2" s="1"/>
  <c r="P9" i="2" a="1"/>
  <c r="P9" i="2" s="1"/>
  <c r="P5" i="2" a="1"/>
  <c r="P5" i="2" s="1"/>
  <c r="P12" i="2" a="1"/>
  <c r="P12" i="2" s="1"/>
  <c r="D20" i="15"/>
  <c r="D21" i="15" s="1"/>
  <c r="K146" i="10"/>
  <c r="K147" i="10" s="1"/>
  <c r="K112" i="3"/>
  <c r="K10" i="11"/>
  <c r="K8" i="11"/>
  <c r="F28" i="11"/>
  <c r="I28" i="11" s="1"/>
  <c r="K12" i="11"/>
  <c r="K13" i="11"/>
  <c r="K14" i="11"/>
  <c r="K15" i="11"/>
  <c r="K16" i="11"/>
  <c r="K17" i="11"/>
  <c r="K18" i="11"/>
  <c r="K19" i="11"/>
  <c r="K20" i="11"/>
  <c r="K21" i="11"/>
  <c r="K11" i="11"/>
  <c r="K9" i="11"/>
  <c r="K7" i="11"/>
  <c r="I70" i="11" l="1"/>
  <c r="F70" i="11"/>
  <c r="L15" i="3"/>
  <c r="O15" i="3"/>
  <c r="F25" i="1"/>
  <c r="F24" i="1"/>
  <c r="F29" i="1" s="1"/>
  <c r="K28" i="11"/>
  <c r="G23" i="11"/>
  <c r="G24" i="11" s="1"/>
  <c r="O44" i="4"/>
  <c r="R44" i="4" s="1"/>
  <c r="K44" i="4"/>
  <c r="Q44" i="4" s="1"/>
  <c r="O46" i="4"/>
  <c r="R46" i="4" s="1"/>
  <c r="K46" i="4"/>
  <c r="Q46" i="4" s="1"/>
  <c r="O45" i="4"/>
  <c r="R45" i="4" s="1"/>
  <c r="K45" i="4"/>
  <c r="Q45" i="4" s="1"/>
  <c r="G45" i="6"/>
  <c r="K45" i="6" s="1"/>
  <c r="G6" i="7"/>
  <c r="G7" i="7"/>
  <c r="G9" i="7"/>
  <c r="G10" i="7"/>
  <c r="G11" i="7"/>
  <c r="G12" i="7"/>
  <c r="G13" i="7"/>
  <c r="G14" i="7"/>
  <c r="G15" i="7"/>
  <c r="G16" i="7"/>
  <c r="G17" i="7"/>
  <c r="G18" i="7"/>
  <c r="G19" i="7"/>
  <c r="G20" i="7"/>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O47" i="4"/>
  <c r="R47" i="4" s="1"/>
  <c r="O48" i="4"/>
  <c r="R48" i="4" s="1"/>
  <c r="O49" i="4"/>
  <c r="R49" i="4" s="1"/>
  <c r="O50" i="4"/>
  <c r="R50" i="4" s="1"/>
  <c r="O51" i="4"/>
  <c r="R51" i="4" s="1"/>
  <c r="O52" i="4"/>
  <c r="R52" i="4" s="1"/>
  <c r="O53" i="4"/>
  <c r="R53" i="4" s="1"/>
  <c r="O54" i="4"/>
  <c r="R54" i="4" s="1"/>
  <c r="O55" i="4"/>
  <c r="R55" i="4" s="1"/>
  <c r="O56" i="4"/>
  <c r="R56" i="4" s="1"/>
  <c r="O57" i="4"/>
  <c r="R57" i="4" s="1"/>
  <c r="O58" i="4"/>
  <c r="R58" i="4" s="1"/>
  <c r="O59" i="4"/>
  <c r="R59" i="4" s="1"/>
  <c r="O60" i="4"/>
  <c r="R60" i="4" s="1"/>
  <c r="O61" i="4"/>
  <c r="R61" i="4" s="1"/>
  <c r="O62" i="4"/>
  <c r="R62" i="4" s="1"/>
  <c r="O63" i="4"/>
  <c r="R63" i="4" s="1"/>
  <c r="O64" i="4"/>
  <c r="R64" i="4" s="1"/>
  <c r="O65" i="4"/>
  <c r="R65" i="4" s="1"/>
  <c r="O66" i="4"/>
  <c r="R66" i="4" s="1"/>
  <c r="O67" i="4"/>
  <c r="R67" i="4" s="1"/>
  <c r="O68" i="4"/>
  <c r="R68" i="4" s="1"/>
  <c r="O69" i="4"/>
  <c r="R69" i="4" s="1"/>
  <c r="O70" i="4"/>
  <c r="R70" i="4" s="1"/>
  <c r="O71" i="4"/>
  <c r="R71" i="4" s="1"/>
  <c r="O72" i="4"/>
  <c r="R72" i="4" s="1"/>
  <c r="O73" i="4"/>
  <c r="R73" i="4" s="1"/>
  <c r="O74" i="4"/>
  <c r="R74" i="4" s="1"/>
  <c r="O75" i="4"/>
  <c r="R75" i="4" s="1"/>
  <c r="O76" i="4"/>
  <c r="R76" i="4" s="1"/>
  <c r="O77" i="4"/>
  <c r="R77" i="4" s="1"/>
  <c r="O78" i="4"/>
  <c r="R78" i="4" s="1"/>
  <c r="O79" i="4"/>
  <c r="R79" i="4" s="1"/>
  <c r="O80" i="4"/>
  <c r="R80" i="4" s="1"/>
  <c r="O81" i="4"/>
  <c r="R81" i="4" s="1"/>
  <c r="O82" i="4"/>
  <c r="R82" i="4" s="1"/>
  <c r="O83" i="4"/>
  <c r="R83" i="4" s="1"/>
  <c r="O84" i="4"/>
  <c r="R84" i="4" s="1"/>
  <c r="O85" i="4"/>
  <c r="R85" i="4" s="1"/>
  <c r="O86" i="4"/>
  <c r="R86" i="4" s="1"/>
  <c r="O87" i="4"/>
  <c r="R87" i="4" s="1"/>
  <c r="O88" i="4"/>
  <c r="R88" i="4" s="1"/>
  <c r="O89" i="4"/>
  <c r="R89" i="4" s="1"/>
  <c r="O90" i="4"/>
  <c r="R90" i="4" s="1"/>
  <c r="O91" i="4"/>
  <c r="R91" i="4" s="1"/>
  <c r="O92" i="4"/>
  <c r="R92" i="4" s="1"/>
  <c r="O93" i="4"/>
  <c r="R93" i="4" s="1"/>
  <c r="O94" i="4"/>
  <c r="R94" i="4" s="1"/>
  <c r="O95" i="4"/>
  <c r="R95" i="4" s="1"/>
  <c r="O96" i="4"/>
  <c r="R96" i="4" s="1"/>
  <c r="O97" i="4"/>
  <c r="R97" i="4" s="1"/>
  <c r="O98" i="4"/>
  <c r="R98" i="4" s="1"/>
  <c r="O99" i="4"/>
  <c r="R99" i="4" s="1"/>
  <c r="K47" i="4"/>
  <c r="Q47" i="4" s="1"/>
  <c r="K48" i="4"/>
  <c r="Q48" i="4" s="1"/>
  <c r="K49" i="4"/>
  <c r="Q49" i="4" s="1"/>
  <c r="K50" i="4"/>
  <c r="Q50" i="4" s="1"/>
  <c r="K51" i="4"/>
  <c r="Q51" i="4" s="1"/>
  <c r="S51" i="4" s="1"/>
  <c r="K52" i="4"/>
  <c r="Q52" i="4" s="1"/>
  <c r="K53" i="4"/>
  <c r="Q53" i="4" s="1"/>
  <c r="K54" i="4"/>
  <c r="Q54" i="4" s="1"/>
  <c r="K55" i="4"/>
  <c r="Q55" i="4" s="1"/>
  <c r="K56" i="4"/>
  <c r="Q56" i="4" s="1"/>
  <c r="K57" i="4"/>
  <c r="Q57" i="4" s="1"/>
  <c r="K58" i="4"/>
  <c r="Q58" i="4" s="1"/>
  <c r="K59" i="4"/>
  <c r="Q59" i="4" s="1"/>
  <c r="S59" i="4" s="1"/>
  <c r="K60" i="4"/>
  <c r="Q60" i="4" s="1"/>
  <c r="K61" i="4"/>
  <c r="Q61" i="4" s="1"/>
  <c r="K62" i="4"/>
  <c r="Q62" i="4" s="1"/>
  <c r="K63" i="4"/>
  <c r="Q63" i="4" s="1"/>
  <c r="K64" i="4"/>
  <c r="Q64" i="4" s="1"/>
  <c r="K65" i="4"/>
  <c r="Q65" i="4" s="1"/>
  <c r="K66" i="4"/>
  <c r="Q66" i="4" s="1"/>
  <c r="K67" i="4"/>
  <c r="Q67" i="4" s="1"/>
  <c r="S67" i="4" s="1"/>
  <c r="K68" i="4"/>
  <c r="Q68" i="4" s="1"/>
  <c r="K69" i="4"/>
  <c r="Q69" i="4" s="1"/>
  <c r="K70" i="4"/>
  <c r="Q70" i="4" s="1"/>
  <c r="K71" i="4"/>
  <c r="Q71" i="4" s="1"/>
  <c r="K72" i="4"/>
  <c r="Q72" i="4" s="1"/>
  <c r="K73" i="4"/>
  <c r="Q73" i="4" s="1"/>
  <c r="K74" i="4"/>
  <c r="Q74" i="4" s="1"/>
  <c r="K75" i="4"/>
  <c r="Q75" i="4" s="1"/>
  <c r="S75" i="4" s="1"/>
  <c r="K76" i="4"/>
  <c r="Q76" i="4" s="1"/>
  <c r="K77" i="4"/>
  <c r="Q77" i="4" s="1"/>
  <c r="K78" i="4"/>
  <c r="Q78" i="4" s="1"/>
  <c r="K79" i="4"/>
  <c r="Q79" i="4" s="1"/>
  <c r="K80" i="4"/>
  <c r="Q80" i="4" s="1"/>
  <c r="K81" i="4"/>
  <c r="Q81" i="4" s="1"/>
  <c r="K82" i="4"/>
  <c r="Q82" i="4" s="1"/>
  <c r="K83" i="4"/>
  <c r="Q83" i="4" s="1"/>
  <c r="S83" i="4" s="1"/>
  <c r="K84" i="4"/>
  <c r="Q84" i="4" s="1"/>
  <c r="K85" i="4"/>
  <c r="Q85" i="4" s="1"/>
  <c r="K86" i="4"/>
  <c r="Q86" i="4" s="1"/>
  <c r="K87" i="4"/>
  <c r="Q87" i="4" s="1"/>
  <c r="K88" i="4"/>
  <c r="Q88" i="4" s="1"/>
  <c r="K89" i="4"/>
  <c r="Q89" i="4" s="1"/>
  <c r="K90" i="4"/>
  <c r="Q90" i="4" s="1"/>
  <c r="K91" i="4"/>
  <c r="Q91" i="4" s="1"/>
  <c r="S91" i="4" s="1"/>
  <c r="K92" i="4"/>
  <c r="Q92" i="4" s="1"/>
  <c r="K93" i="4"/>
  <c r="Q93" i="4" s="1"/>
  <c r="K94" i="4"/>
  <c r="Q94" i="4" s="1"/>
  <c r="K95" i="4"/>
  <c r="Q95" i="4" s="1"/>
  <c r="K96" i="4"/>
  <c r="Q96" i="4" s="1"/>
  <c r="K97" i="4"/>
  <c r="Q97" i="4" s="1"/>
  <c r="K98" i="4"/>
  <c r="Q98" i="4" s="1"/>
  <c r="K99" i="4"/>
  <c r="Q99" i="4" s="1"/>
  <c r="S99" i="4" s="1"/>
  <c r="F71" i="11" l="1"/>
  <c r="B76" i="11"/>
  <c r="B336" i="13"/>
  <c r="A497" i="13"/>
  <c r="A489" i="13"/>
  <c r="A481" i="13"/>
  <c r="A473" i="13"/>
  <c r="A465" i="13"/>
  <c r="A457" i="13"/>
  <c r="A449" i="13"/>
  <c r="A441" i="13"/>
  <c r="A433" i="13"/>
  <c r="A425" i="13"/>
  <c r="A417" i="13"/>
  <c r="A409" i="13"/>
  <c r="A401" i="13"/>
  <c r="A393" i="13"/>
  <c r="A385" i="13"/>
  <c r="A377" i="13"/>
  <c r="B383" i="13"/>
  <c r="B391" i="13"/>
  <c r="B399" i="13"/>
  <c r="H111" i="3" s="1"/>
  <c r="B407" i="13"/>
  <c r="B415" i="13"/>
  <c r="F6" i="11" s="1"/>
  <c r="B423" i="13"/>
  <c r="A20" i="17" s="1"/>
  <c r="B431" i="13"/>
  <c r="E5" i="6" s="1"/>
  <c r="B439" i="13"/>
  <c r="A77" i="17" s="1"/>
  <c r="B447" i="13"/>
  <c r="A85" i="17" s="1"/>
  <c r="B455" i="13"/>
  <c r="B463" i="13"/>
  <c r="B471" i="13"/>
  <c r="B479" i="13"/>
  <c r="B487" i="13"/>
  <c r="B495" i="13"/>
  <c r="B377" i="13"/>
  <c r="A496" i="13"/>
  <c r="A488" i="13"/>
  <c r="A480" i="13"/>
  <c r="A472" i="13"/>
  <c r="A464" i="13"/>
  <c r="A456" i="13"/>
  <c r="A448" i="13"/>
  <c r="A440" i="13"/>
  <c r="A432" i="13"/>
  <c r="A424" i="13"/>
  <c r="A416" i="13"/>
  <c r="A408" i="13"/>
  <c r="A400" i="13"/>
  <c r="A392" i="13"/>
  <c r="A384" i="13"/>
  <c r="A376" i="13"/>
  <c r="B384" i="13"/>
  <c r="M25" i="3" s="1"/>
  <c r="B392" i="13"/>
  <c r="G6" i="4" s="1"/>
  <c r="B400" i="13"/>
  <c r="E32" i="1" s="1"/>
  <c r="B408" i="13"/>
  <c r="B416" i="13"/>
  <c r="A10" i="17" s="1"/>
  <c r="B424" i="13"/>
  <c r="A21" i="17" s="1"/>
  <c r="B432" i="13"/>
  <c r="D23" i="7" s="1"/>
  <c r="B440" i="13"/>
  <c r="A78" i="17" s="1"/>
  <c r="B448" i="13"/>
  <c r="C124" i="10" s="1"/>
  <c r="H56" i="3" s="1"/>
  <c r="B456" i="13"/>
  <c r="B464" i="13"/>
  <c r="B472" i="13"/>
  <c r="B480" i="13"/>
  <c r="B488" i="13"/>
  <c r="B496" i="13"/>
  <c r="A495" i="13"/>
  <c r="A487" i="13"/>
  <c r="A479" i="13"/>
  <c r="A471" i="13"/>
  <c r="A463" i="13"/>
  <c r="A455" i="13"/>
  <c r="A447" i="13"/>
  <c r="A439" i="13"/>
  <c r="A431" i="13"/>
  <c r="A423" i="13"/>
  <c r="A415" i="13"/>
  <c r="A407" i="13"/>
  <c r="A399" i="13"/>
  <c r="A391" i="13"/>
  <c r="A383" i="13"/>
  <c r="A375" i="13"/>
  <c r="B385" i="13"/>
  <c r="M26" i="3" s="1"/>
  <c r="B393" i="13"/>
  <c r="B401" i="13"/>
  <c r="B409" i="13"/>
  <c r="B417" i="13"/>
  <c r="B425" i="13"/>
  <c r="A33" i="17" s="1"/>
  <c r="B433" i="13"/>
  <c r="G47" i="6" s="1"/>
  <c r="B441" i="13"/>
  <c r="A79" i="17" s="1"/>
  <c r="B449" i="13"/>
  <c r="C125" i="10" s="1"/>
  <c r="H52" i="3" s="1"/>
  <c r="B457" i="13"/>
  <c r="B465" i="13"/>
  <c r="B473" i="13"/>
  <c r="B481" i="13"/>
  <c r="B489" i="13"/>
  <c r="B497" i="13"/>
  <c r="A494" i="13"/>
  <c r="A486" i="13"/>
  <c r="A478" i="13"/>
  <c r="A470" i="13"/>
  <c r="A462" i="13"/>
  <c r="A454" i="13"/>
  <c r="A446" i="13"/>
  <c r="A438" i="13"/>
  <c r="A430" i="13"/>
  <c r="A422" i="13"/>
  <c r="A414" i="13"/>
  <c r="A406" i="13"/>
  <c r="A398" i="13"/>
  <c r="A390" i="13"/>
  <c r="B378" i="13"/>
  <c r="D15" i="1" s="1"/>
  <c r="B386" i="13"/>
  <c r="B394" i="13"/>
  <c r="B18" i="6" s="1"/>
  <c r="B402" i="13"/>
  <c r="B410" i="13"/>
  <c r="B2" i="18" s="1"/>
  <c r="B418" i="13"/>
  <c r="B426" i="13"/>
  <c r="A36" i="17" s="1"/>
  <c r="B434" i="13"/>
  <c r="E43" i="5" s="1"/>
  <c r="B442" i="13"/>
  <c r="A80" i="17" s="1"/>
  <c r="B450" i="13"/>
  <c r="C126" i="10" s="1"/>
  <c r="H53" i="3" s="1"/>
  <c r="B466" i="13"/>
  <c r="B474" i="13"/>
  <c r="B482" i="13"/>
  <c r="B498" i="13"/>
  <c r="A382" i="13"/>
  <c r="B458" i="13"/>
  <c r="A15" i="17" s="1"/>
  <c r="A493" i="13"/>
  <c r="A485" i="13"/>
  <c r="A477" i="13"/>
  <c r="A469" i="13"/>
  <c r="A461" i="13"/>
  <c r="A453" i="13"/>
  <c r="A445" i="13"/>
  <c r="A437" i="13"/>
  <c r="A429" i="13"/>
  <c r="A421" i="13"/>
  <c r="A413" i="13"/>
  <c r="A405" i="13"/>
  <c r="A397" i="13"/>
  <c r="A389" i="13"/>
  <c r="A381" i="13"/>
  <c r="B379" i="13"/>
  <c r="D19" i="1" s="1"/>
  <c r="B387" i="13"/>
  <c r="H15" i="3" s="1"/>
  <c r="B395" i="13"/>
  <c r="B403" i="13"/>
  <c r="B411" i="13"/>
  <c r="B419" i="13"/>
  <c r="A13" i="17" s="1"/>
  <c r="B427" i="13"/>
  <c r="A38" i="17" s="1"/>
  <c r="B435" i="13"/>
  <c r="H108" i="3" s="1"/>
  <c r="B443" i="13"/>
  <c r="A81" i="17" s="1"/>
  <c r="B451" i="13"/>
  <c r="C127" i="10" s="1"/>
  <c r="H54" i="3" s="1"/>
  <c r="B459" i="13"/>
  <c r="A12" i="17" s="1"/>
  <c r="B467" i="13"/>
  <c r="B475" i="13"/>
  <c r="B483" i="13"/>
  <c r="B491" i="13"/>
  <c r="B499" i="13"/>
  <c r="A499" i="13"/>
  <c r="A387" i="13"/>
  <c r="B389" i="13"/>
  <c r="H16" i="3" s="1" a="1"/>
  <c r="B405" i="13"/>
  <c r="B421" i="13"/>
  <c r="A17" i="17" s="1"/>
  <c r="B437" i="13"/>
  <c r="B453" i="13"/>
  <c r="C129" i="10" s="1"/>
  <c r="B469" i="13"/>
  <c r="B485" i="13"/>
  <c r="B375" i="13"/>
  <c r="A490" i="13"/>
  <c r="A474" i="13"/>
  <c r="A458" i="13"/>
  <c r="A442" i="13"/>
  <c r="A426" i="13"/>
  <c r="A410" i="13"/>
  <c r="A394" i="13"/>
  <c r="A378" i="13"/>
  <c r="B390" i="13"/>
  <c r="B406" i="13"/>
  <c r="B422" i="13"/>
  <c r="B438" i="13"/>
  <c r="A76" i="17" s="1"/>
  <c r="B454" i="13"/>
  <c r="B470" i="13"/>
  <c r="B486" i="13"/>
  <c r="B376" i="13"/>
  <c r="A500" i="13"/>
  <c r="A492" i="13"/>
  <c r="A484" i="13"/>
  <c r="A476" i="13"/>
  <c r="A468" i="13"/>
  <c r="A460" i="13"/>
  <c r="A452" i="13"/>
  <c r="A444" i="13"/>
  <c r="A436" i="13"/>
  <c r="A428" i="13"/>
  <c r="A420" i="13"/>
  <c r="A412" i="13"/>
  <c r="A404" i="13"/>
  <c r="A396" i="13"/>
  <c r="A388" i="13"/>
  <c r="A380" i="13"/>
  <c r="B380" i="13"/>
  <c r="B388" i="13"/>
  <c r="H6" i="3" s="1" a="1"/>
  <c r="B396" i="13"/>
  <c r="B412" i="13"/>
  <c r="B420" i="13"/>
  <c r="B428" i="13"/>
  <c r="A43" i="17" s="1"/>
  <c r="B436" i="13"/>
  <c r="P102" i="4" s="1"/>
  <c r="B444" i="13"/>
  <c r="A82" i="17" s="1"/>
  <c r="B452" i="13"/>
  <c r="C128" i="10" s="1"/>
  <c r="H55" i="3" s="1"/>
  <c r="B460" i="13"/>
  <c r="B468" i="13"/>
  <c r="B476" i="13"/>
  <c r="B484" i="13"/>
  <c r="B492" i="13"/>
  <c r="B500" i="13"/>
  <c r="A491" i="13"/>
  <c r="A483" i="13"/>
  <c r="A475" i="13"/>
  <c r="A467" i="13"/>
  <c r="A459" i="13"/>
  <c r="A451" i="13"/>
  <c r="A443" i="13"/>
  <c r="A435" i="13"/>
  <c r="A427" i="13"/>
  <c r="A419" i="13"/>
  <c r="A411" i="13"/>
  <c r="A403" i="13"/>
  <c r="A395" i="13"/>
  <c r="A379" i="13"/>
  <c r="B381" i="13"/>
  <c r="B397" i="13"/>
  <c r="G19" i="1" s="1"/>
  <c r="B413" i="13"/>
  <c r="A16" i="11" s="1"/>
  <c r="B429" i="13"/>
  <c r="A44" i="17" s="1"/>
  <c r="B445" i="13"/>
  <c r="A83" i="17" s="1"/>
  <c r="B461" i="13"/>
  <c r="B477" i="13"/>
  <c r="B493" i="13"/>
  <c r="A498" i="13"/>
  <c r="A482" i="13"/>
  <c r="A466" i="13"/>
  <c r="A450" i="13"/>
  <c r="A434" i="13"/>
  <c r="A418" i="13"/>
  <c r="A402" i="13"/>
  <c r="A386" i="13"/>
  <c r="B382" i="13"/>
  <c r="B398" i="13"/>
  <c r="B414" i="13"/>
  <c r="E6" i="11" s="1"/>
  <c r="B430" i="13"/>
  <c r="A17" i="11" s="1"/>
  <c r="B446" i="13"/>
  <c r="A84" i="17" s="1"/>
  <c r="B462" i="13"/>
  <c r="B478" i="13"/>
  <c r="B494" i="13"/>
  <c r="B490" i="13"/>
  <c r="S74" i="4"/>
  <c r="V74" i="4" s="1"/>
  <c r="S50" i="4"/>
  <c r="V50" i="4" s="1"/>
  <c r="S97" i="4"/>
  <c r="V97" i="4" s="1"/>
  <c r="S89" i="4"/>
  <c r="V89" i="4" s="1"/>
  <c r="S81" i="4"/>
  <c r="V81" i="4" s="1"/>
  <c r="S73" i="4"/>
  <c r="T73" i="4" s="1"/>
  <c r="S65" i="4"/>
  <c r="V65" i="4" s="1"/>
  <c r="S57" i="4"/>
  <c r="V57" i="4" s="1"/>
  <c r="S49" i="4"/>
  <c r="V49" i="4" s="1"/>
  <c r="S44" i="4"/>
  <c r="T44" i="4" s="1"/>
  <c r="S90" i="4"/>
  <c r="V90" i="4" s="1"/>
  <c r="S98" i="4"/>
  <c r="V98" i="4" s="1"/>
  <c r="S66" i="4"/>
  <c r="V66" i="4" s="1"/>
  <c r="S82" i="4"/>
  <c r="T82" i="4" s="1"/>
  <c r="S58" i="4"/>
  <c r="V58" i="4" s="1"/>
  <c r="I36" i="5"/>
  <c r="I35" i="5"/>
  <c r="I33" i="5"/>
  <c r="I30" i="5"/>
  <c r="I29" i="5"/>
  <c r="I28" i="5"/>
  <c r="I25" i="5"/>
  <c r="I24" i="5"/>
  <c r="I22" i="5"/>
  <c r="I21" i="5"/>
  <c r="I20" i="5"/>
  <c r="I17" i="5"/>
  <c r="I16" i="5"/>
  <c r="I14" i="5"/>
  <c r="I12" i="5"/>
  <c r="I11" i="5"/>
  <c r="I9" i="5"/>
  <c r="I6" i="5"/>
  <c r="K19" i="7"/>
  <c r="K18" i="7"/>
  <c r="K15" i="7"/>
  <c r="K14" i="7"/>
  <c r="K11" i="7"/>
  <c r="K10" i="7"/>
  <c r="K6" i="7"/>
  <c r="V99" i="4"/>
  <c r="T99" i="4"/>
  <c r="V91" i="4"/>
  <c r="T91" i="4"/>
  <c r="V83" i="4"/>
  <c r="T83" i="4"/>
  <c r="V75" i="4"/>
  <c r="T75" i="4"/>
  <c r="V67" i="4"/>
  <c r="T67" i="4"/>
  <c r="V59" i="4"/>
  <c r="T59" i="4"/>
  <c r="V51" i="4"/>
  <c r="T51" i="4"/>
  <c r="I34" i="5"/>
  <c r="I32" i="5"/>
  <c r="I31" i="5"/>
  <c r="I27" i="5"/>
  <c r="I26" i="5"/>
  <c r="I23" i="5"/>
  <c r="I19" i="5"/>
  <c r="I18" i="5"/>
  <c r="I15" i="5"/>
  <c r="I13" i="5"/>
  <c r="K20" i="7"/>
  <c r="K17" i="7"/>
  <c r="K16" i="7"/>
  <c r="K13" i="7"/>
  <c r="K12" i="7"/>
  <c r="K9" i="7"/>
  <c r="K7" i="7"/>
  <c r="A336" i="13"/>
  <c r="I7" i="5"/>
  <c r="I8" i="5"/>
  <c r="I10" i="5"/>
  <c r="S46" i="4"/>
  <c r="S85" i="4"/>
  <c r="S77" i="4"/>
  <c r="S93" i="4"/>
  <c r="S87" i="4"/>
  <c r="S71" i="4"/>
  <c r="S55" i="4"/>
  <c r="S69" i="4"/>
  <c r="S61" i="4"/>
  <c r="S53" i="4"/>
  <c r="S95" i="4"/>
  <c r="S79" i="4"/>
  <c r="S63" i="4"/>
  <c r="S47" i="4"/>
  <c r="S92" i="4"/>
  <c r="S84" i="4"/>
  <c r="S76" i="4"/>
  <c r="S68" i="4"/>
  <c r="S60" i="4"/>
  <c r="S52" i="4"/>
  <c r="S96" i="4"/>
  <c r="S88" i="4"/>
  <c r="S80" i="4"/>
  <c r="S72" i="4"/>
  <c r="S64" i="4"/>
  <c r="S56" i="4"/>
  <c r="S48" i="4"/>
  <c r="S45" i="4"/>
  <c r="S94" i="4"/>
  <c r="S86" i="4"/>
  <c r="S78" i="4"/>
  <c r="S70" i="4"/>
  <c r="S62" i="4"/>
  <c r="S54" i="4"/>
  <c r="B69" i="13"/>
  <c r="K23" i="6" s="1"/>
  <c r="B331" i="13"/>
  <c r="B253" i="13"/>
  <c r="C30" i="9" s="1"/>
  <c r="B157" i="13"/>
  <c r="B61" i="13"/>
  <c r="B372" i="13"/>
  <c r="B10" i="7" s="1"/>
  <c r="B317" i="13"/>
  <c r="C120" i="10" s="1"/>
  <c r="B356" i="13"/>
  <c r="B125" i="13"/>
  <c r="B14" i="6" s="1"/>
  <c r="B93" i="13"/>
  <c r="AA3" i="4" s="1"/>
  <c r="B285" i="13"/>
  <c r="C62" i="9" s="1"/>
  <c r="B29" i="13"/>
  <c r="B221" i="13"/>
  <c r="B74" i="11" s="1"/>
  <c r="B189" i="13"/>
  <c r="B42" i="11" s="1"/>
  <c r="B365" i="13"/>
  <c r="B31" i="1" s="1"/>
  <c r="B277" i="13"/>
  <c r="C54" i="9" s="1"/>
  <c r="B213" i="13"/>
  <c r="A55" i="11" s="1"/>
  <c r="B149" i="13"/>
  <c r="A3" i="11" s="1"/>
  <c r="B85" i="13"/>
  <c r="K3" i="4" s="1"/>
  <c r="B21" i="13"/>
  <c r="B364" i="13"/>
  <c r="E31" i="1" s="1"/>
  <c r="B269" i="13"/>
  <c r="C46" i="9" s="1"/>
  <c r="B205" i="13"/>
  <c r="B50" i="11" s="1"/>
  <c r="B141" i="13"/>
  <c r="G48" i="6" s="1"/>
  <c r="B77" i="13"/>
  <c r="H116" i="3" s="1"/>
  <c r="B13" i="13"/>
  <c r="B357" i="13"/>
  <c r="B325" i="13"/>
  <c r="B9" i="5" s="1"/>
  <c r="B261" i="13"/>
  <c r="C38" i="9" s="1"/>
  <c r="B197" i="13"/>
  <c r="A43" i="11" s="1"/>
  <c r="B133" i="13"/>
  <c r="E10" i="6" s="1"/>
  <c r="B11" i="13"/>
  <c r="B19" i="13"/>
  <c r="B27" i="13"/>
  <c r="B35" i="13"/>
  <c r="B25" i="18" s="1"/>
  <c r="B43" i="13"/>
  <c r="B51" i="13"/>
  <c r="B59" i="13"/>
  <c r="B67" i="13"/>
  <c r="J3" i="3" s="1"/>
  <c r="B75" i="13"/>
  <c r="H113" i="3" s="1"/>
  <c r="B83" i="13"/>
  <c r="I3" i="4" s="1"/>
  <c r="B91" i="13"/>
  <c r="Q3" i="4" s="1"/>
  <c r="B99" i="13"/>
  <c r="P105" i="4" s="1"/>
  <c r="B107" i="13"/>
  <c r="B115" i="13"/>
  <c r="B4" i="6" s="1"/>
  <c r="B123" i="13"/>
  <c r="B12" i="6" s="1"/>
  <c r="B131" i="13"/>
  <c r="E8" i="6" s="1"/>
  <c r="B139" i="13"/>
  <c r="B147" i="13"/>
  <c r="F25" i="6" s="1"/>
  <c r="B155" i="13"/>
  <c r="B163" i="13"/>
  <c r="B12" i="11" s="1"/>
  <c r="B171" i="13"/>
  <c r="B179" i="13"/>
  <c r="B32" i="11" s="1"/>
  <c r="B187" i="13"/>
  <c r="B40" i="11" s="1"/>
  <c r="B195" i="13"/>
  <c r="B203" i="13"/>
  <c r="B48" i="11" s="1"/>
  <c r="B211" i="13"/>
  <c r="A53" i="11" s="1"/>
  <c r="B219" i="13"/>
  <c r="A84" i="11" s="1"/>
  <c r="B227" i="13"/>
  <c r="A11" i="11" s="1"/>
  <c r="B235" i="13"/>
  <c r="G3" i="7" s="1"/>
  <c r="B243" i="13"/>
  <c r="D24" i="7" s="1"/>
  <c r="B251" i="13"/>
  <c r="C28" i="9" s="1"/>
  <c r="B259" i="13"/>
  <c r="C36" i="9" s="1"/>
  <c r="B267" i="13"/>
  <c r="C44" i="9" s="1"/>
  <c r="B275" i="13"/>
  <c r="C52" i="9" s="1"/>
  <c r="B283" i="13"/>
  <c r="C60" i="9" s="1"/>
  <c r="B291" i="13"/>
  <c r="C94" i="10" s="1"/>
  <c r="B299" i="13"/>
  <c r="C102" i="10" s="1"/>
  <c r="B307" i="13"/>
  <c r="C110" i="10" s="1"/>
  <c r="B315" i="13"/>
  <c r="C118" i="10" s="1"/>
  <c r="B323" i="13"/>
  <c r="B7" i="5" s="1"/>
  <c r="B347" i="13"/>
  <c r="E25" i="1" s="1"/>
  <c r="B355" i="13"/>
  <c r="B363" i="13"/>
  <c r="B371" i="13"/>
  <c r="B9" i="7" s="1"/>
  <c r="B8" i="13"/>
  <c r="B12" i="13"/>
  <c r="E14" i="1" s="1"/>
  <c r="B20" i="13"/>
  <c r="B28" i="13"/>
  <c r="B36" i="13"/>
  <c r="B44" i="13"/>
  <c r="B52" i="13"/>
  <c r="B60" i="13"/>
  <c r="B68" i="13"/>
  <c r="K3" i="3" s="1"/>
  <c r="B76" i="13"/>
  <c r="H115" i="3" s="1"/>
  <c r="B84" i="13"/>
  <c r="J3" i="4" s="1"/>
  <c r="B92" i="13"/>
  <c r="B100" i="13"/>
  <c r="P108" i="4" s="1"/>
  <c r="B108" i="13"/>
  <c r="B40" i="5" s="1"/>
  <c r="B116" i="13"/>
  <c r="B5" i="6" s="1"/>
  <c r="B124" i="13"/>
  <c r="B13" i="6" s="1"/>
  <c r="B132" i="13"/>
  <c r="E9" i="6" s="1"/>
  <c r="B140" i="13"/>
  <c r="B148" i="13"/>
  <c r="A2" i="11" s="1"/>
  <c r="B156" i="13"/>
  <c r="H6" i="11" s="1"/>
  <c r="B164" i="13"/>
  <c r="B13" i="11" s="1"/>
  <c r="B172" i="13"/>
  <c r="B180" i="13"/>
  <c r="B33" i="11" s="1"/>
  <c r="B188" i="13"/>
  <c r="B41" i="11" s="1"/>
  <c r="B196" i="13"/>
  <c r="B204" i="13"/>
  <c r="B49" i="11" s="1"/>
  <c r="B212" i="13"/>
  <c r="A54" i="11" s="1"/>
  <c r="B220" i="13"/>
  <c r="A85" i="11" s="1"/>
  <c r="B228" i="13"/>
  <c r="A12" i="11" s="1"/>
  <c r="B236" i="13"/>
  <c r="H3" i="7" s="1"/>
  <c r="B244" i="13"/>
  <c r="D25" i="7" s="1"/>
  <c r="B252" i="13"/>
  <c r="C29" i="9" s="1"/>
  <c r="B260" i="13"/>
  <c r="C37" i="9" s="1"/>
  <c r="B268" i="13"/>
  <c r="C45" i="9" s="1"/>
  <c r="B276" i="13"/>
  <c r="C53" i="9" s="1"/>
  <c r="B284" i="13"/>
  <c r="C61" i="9" s="1"/>
  <c r="G40" i="4" s="1"/>
  <c r="B316" i="13"/>
  <c r="C119" i="10" s="1"/>
  <c r="B14" i="13"/>
  <c r="E16" i="1" s="1"/>
  <c r="B22" i="13"/>
  <c r="E21" i="1" s="1"/>
  <c r="B30" i="13"/>
  <c r="B38" i="13"/>
  <c r="B46" i="13"/>
  <c r="B54" i="13"/>
  <c r="B62" i="13"/>
  <c r="B70" i="13"/>
  <c r="P2" i="3" s="1"/>
  <c r="B78" i="13"/>
  <c r="B86" i="13"/>
  <c r="B94" i="13"/>
  <c r="AB3" i="4" s="1"/>
  <c r="B102" i="13"/>
  <c r="B3" i="5" s="1"/>
  <c r="B110" i="13"/>
  <c r="E40" i="5" s="1"/>
  <c r="B118" i="13"/>
  <c r="B7" i="6" s="1"/>
  <c r="B126" i="13"/>
  <c r="B15" i="6" s="1"/>
  <c r="B134" i="13"/>
  <c r="E22" i="6" s="1"/>
  <c r="B142" i="13"/>
  <c r="G49" i="6" s="1"/>
  <c r="B150" i="13"/>
  <c r="A5" i="11" s="1"/>
  <c r="B158" i="13"/>
  <c r="B7" i="11" s="1"/>
  <c r="B166" i="13"/>
  <c r="B174" i="13"/>
  <c r="A28" i="11" s="1"/>
  <c r="B182" i="13"/>
  <c r="B35" i="11" s="1"/>
  <c r="B190" i="13"/>
  <c r="B198" i="13"/>
  <c r="B43" i="11" s="1"/>
  <c r="B206" i="13"/>
  <c r="B51" i="11" s="1"/>
  <c r="B214" i="13"/>
  <c r="B222" i="13"/>
  <c r="B78" i="11" s="1"/>
  <c r="B230" i="13"/>
  <c r="B2" i="7" s="1"/>
  <c r="B238" i="13"/>
  <c r="B6" i="7" s="1"/>
  <c r="B246" i="13"/>
  <c r="H45" i="6" s="1"/>
  <c r="B254" i="13"/>
  <c r="C31" i="9" s="1"/>
  <c r="B262" i="13"/>
  <c r="C39" i="9" s="1"/>
  <c r="B270" i="13"/>
  <c r="C47" i="9" s="1"/>
  <c r="B278" i="13"/>
  <c r="C55" i="9" s="1"/>
  <c r="G34" i="4" s="1"/>
  <c r="B286" i="13"/>
  <c r="C63" i="9" s="1"/>
  <c r="B294" i="13"/>
  <c r="C97" i="10" s="1"/>
  <c r="B302" i="13"/>
  <c r="C105" i="10" s="1"/>
  <c r="B310" i="13"/>
  <c r="C113" i="10" s="1"/>
  <c r="B318" i="13"/>
  <c r="C121" i="10" s="1"/>
  <c r="B326" i="13"/>
  <c r="B10" i="5" s="1"/>
  <c r="B342" i="13"/>
  <c r="E15" i="1" s="1"/>
  <c r="B358" i="13"/>
  <c r="B366" i="13"/>
  <c r="B374" i="13"/>
  <c r="B73" i="13"/>
  <c r="H112" i="3" s="1"/>
  <c r="B193" i="13"/>
  <c r="A56" i="11" s="1"/>
  <c r="B265" i="13"/>
  <c r="C42" i="9" s="1"/>
  <c r="B305" i="13"/>
  <c r="C108" i="10" s="1"/>
  <c r="B361" i="13"/>
  <c r="B18" i="13"/>
  <c r="B34" i="13"/>
  <c r="B24" i="18" s="1"/>
  <c r="B50" i="13"/>
  <c r="B66" i="13"/>
  <c r="I3" i="3" s="1"/>
  <c r="B98" i="13"/>
  <c r="B114" i="13"/>
  <c r="B2" i="6" s="1"/>
  <c r="B138" i="13"/>
  <c r="I23" i="6" s="1"/>
  <c r="B162" i="13"/>
  <c r="B11" i="11" s="1"/>
  <c r="B178" i="13"/>
  <c r="B31" i="11" s="1"/>
  <c r="B194" i="13"/>
  <c r="B218" i="13"/>
  <c r="A83" i="11" s="1"/>
  <c r="B234" i="13"/>
  <c r="F3" i="7" s="1"/>
  <c r="B258" i="13"/>
  <c r="C35" i="9" s="1"/>
  <c r="B274" i="13"/>
  <c r="C51" i="9" s="1"/>
  <c r="B306" i="13"/>
  <c r="C109" i="10" s="1"/>
  <c r="B322" i="13"/>
  <c r="B6" i="5" s="1"/>
  <c r="B346" i="13"/>
  <c r="P107" i="4" s="1"/>
  <c r="B362" i="13"/>
  <c r="B7" i="13"/>
  <c r="B292" i="13"/>
  <c r="C95" i="10" s="1"/>
  <c r="B15" i="13"/>
  <c r="E17" i="1" s="1"/>
  <c r="B23" i="13"/>
  <c r="B31" i="13"/>
  <c r="B21" i="18" s="1"/>
  <c r="B39" i="13"/>
  <c r="B47" i="13"/>
  <c r="B55" i="13"/>
  <c r="B63" i="13"/>
  <c r="B71" i="13"/>
  <c r="B79" i="13"/>
  <c r="A3" i="4" s="1"/>
  <c r="B87" i="13"/>
  <c r="B95" i="13"/>
  <c r="AC3" i="4" s="1"/>
  <c r="B103" i="13"/>
  <c r="C3" i="5" s="1"/>
  <c r="B111" i="13"/>
  <c r="F40" i="5" s="1"/>
  <c r="B119" i="13"/>
  <c r="B8" i="6" s="1"/>
  <c r="B127" i="13"/>
  <c r="B16" i="6" s="1"/>
  <c r="B135" i="13"/>
  <c r="E23" i="6" s="1"/>
  <c r="B143" i="13"/>
  <c r="E25" i="6" s="1"/>
  <c r="B151" i="13"/>
  <c r="A6" i="11" s="1"/>
  <c r="B159" i="13"/>
  <c r="B8" i="11" s="1"/>
  <c r="B167" i="13"/>
  <c r="B175" i="13"/>
  <c r="B28" i="11" s="1"/>
  <c r="B183" i="13"/>
  <c r="B36" i="11" s="1"/>
  <c r="B191" i="13"/>
  <c r="B56" i="11" s="1"/>
  <c r="B199" i="13"/>
  <c r="B44" i="11" s="1"/>
  <c r="B207" i="13"/>
  <c r="B52" i="11" s="1"/>
  <c r="B215" i="13"/>
  <c r="A73" i="11" s="1"/>
  <c r="B223" i="13"/>
  <c r="A7" i="11" s="1"/>
  <c r="B231" i="13"/>
  <c r="B3" i="7" s="1"/>
  <c r="B239" i="13"/>
  <c r="B7" i="7" s="1"/>
  <c r="B247" i="13"/>
  <c r="B255" i="13"/>
  <c r="C32" i="9" s="1"/>
  <c r="B263" i="13"/>
  <c r="C40" i="9" s="1"/>
  <c r="B271" i="13"/>
  <c r="C48" i="9" s="1"/>
  <c r="B279" i="13"/>
  <c r="C56" i="9" s="1"/>
  <c r="G35" i="4" s="1"/>
  <c r="B287" i="13"/>
  <c r="C64" i="9" s="1"/>
  <c r="G41" i="4" s="1"/>
  <c r="B295" i="13"/>
  <c r="C98" i="10" s="1"/>
  <c r="B303" i="13"/>
  <c r="C106" i="10" s="1"/>
  <c r="B311" i="13"/>
  <c r="C114" i="10" s="1"/>
  <c r="B319" i="13"/>
  <c r="C122" i="10" s="1"/>
  <c r="B327" i="13"/>
  <c r="B343" i="13"/>
  <c r="E19" i="1" s="1"/>
  <c r="B359" i="13"/>
  <c r="B367" i="13"/>
  <c r="B6" i="13"/>
  <c r="B81" i="13"/>
  <c r="G3" i="4" s="1"/>
  <c r="B209" i="13"/>
  <c r="B54" i="11" s="1"/>
  <c r="B297" i="13"/>
  <c r="C100" i="10" s="1"/>
  <c r="B4" i="13"/>
  <c r="A8" i="17" s="1"/>
  <c r="B130" i="13"/>
  <c r="E7" i="6" s="1"/>
  <c r="B282" i="13"/>
  <c r="C59" i="9" s="1"/>
  <c r="G38" i="4" s="1"/>
  <c r="B16" i="13"/>
  <c r="E18" i="1" s="1"/>
  <c r="B24" i="13"/>
  <c r="E23" i="1" s="1"/>
  <c r="B32" i="13"/>
  <c r="B22" i="18" s="1"/>
  <c r="B40" i="13"/>
  <c r="B48" i="13"/>
  <c r="B56" i="13"/>
  <c r="B64" i="13"/>
  <c r="B72" i="13"/>
  <c r="H110" i="3" s="1"/>
  <c r="B80" i="13"/>
  <c r="B88" i="13"/>
  <c r="N3" i="4" s="1"/>
  <c r="B96" i="13"/>
  <c r="B104" i="13"/>
  <c r="D3" i="5" s="1"/>
  <c r="B112" i="13"/>
  <c r="E44" i="5" s="1"/>
  <c r="B120" i="13"/>
  <c r="B9" i="6" s="1"/>
  <c r="B128" i="13"/>
  <c r="B17" i="6" s="1"/>
  <c r="B136" i="13"/>
  <c r="F23" i="6" s="1"/>
  <c r="B144" i="13"/>
  <c r="E26" i="6" s="1"/>
  <c r="B152" i="13"/>
  <c r="B160" i="13"/>
  <c r="B9" i="11" s="1"/>
  <c r="B168" i="13"/>
  <c r="B176" i="13"/>
  <c r="B29" i="11" s="1"/>
  <c r="B184" i="13"/>
  <c r="B37" i="11" s="1"/>
  <c r="B192" i="13"/>
  <c r="B200" i="13"/>
  <c r="B45" i="11" s="1"/>
  <c r="B208" i="13"/>
  <c r="B53" i="11" s="1"/>
  <c r="B216" i="13"/>
  <c r="B73" i="11" s="1"/>
  <c r="B224" i="13"/>
  <c r="A8" i="11" s="1"/>
  <c r="B232" i="13"/>
  <c r="C3" i="7" s="1"/>
  <c r="B240" i="13"/>
  <c r="B8" i="7" s="1"/>
  <c r="B248" i="13"/>
  <c r="B256" i="13"/>
  <c r="C33" i="9" s="1"/>
  <c r="B264" i="13"/>
  <c r="C41" i="9" s="1"/>
  <c r="B272" i="13"/>
  <c r="C49" i="9" s="1"/>
  <c r="B280" i="13"/>
  <c r="C57" i="9" s="1"/>
  <c r="G36" i="4" s="1"/>
  <c r="B288" i="13"/>
  <c r="C65" i="9" s="1"/>
  <c r="G42" i="4" s="1"/>
  <c r="B296" i="13"/>
  <c r="C99" i="10" s="1"/>
  <c r="B304" i="13"/>
  <c r="C107" i="10" s="1"/>
  <c r="B312" i="13"/>
  <c r="C115" i="10" s="1"/>
  <c r="B320" i="13"/>
  <c r="C123" i="10" s="1"/>
  <c r="B328" i="13"/>
  <c r="B344" i="13"/>
  <c r="P106" i="4" s="1"/>
  <c r="B360" i="13"/>
  <c r="G21" i="1" s="1"/>
  <c r="B368" i="13"/>
  <c r="I109" i="3" s="1"/>
  <c r="B5" i="13"/>
  <c r="B4" i="1" s="1"/>
  <c r="B89" i="13"/>
  <c r="O3" i="4" s="1"/>
  <c r="B177" i="13"/>
  <c r="B30" i="11" s="1"/>
  <c r="B225" i="13"/>
  <c r="A9" i="11" s="1"/>
  <c r="B249" i="13"/>
  <c r="C26" i="9" s="1"/>
  <c r="B281" i="13"/>
  <c r="C58" i="9" s="1"/>
  <c r="B321" i="13"/>
  <c r="B5" i="5" s="1"/>
  <c r="B353" i="13"/>
  <c r="B33" i="1" s="1"/>
  <c r="B26" i="13"/>
  <c r="B82" i="13"/>
  <c r="H3" i="4" s="1"/>
  <c r="B154" i="13"/>
  <c r="B202" i="13"/>
  <c r="B47" i="11" s="1"/>
  <c r="B242" i="13"/>
  <c r="B290" i="13"/>
  <c r="C93" i="10" s="1"/>
  <c r="B330" i="13"/>
  <c r="H23" i="6" s="1"/>
  <c r="B354" i="13"/>
  <c r="B36" i="1" s="1"/>
  <c r="B308" i="13"/>
  <c r="C111" i="10" s="1"/>
  <c r="B17" i="13"/>
  <c r="E24" i="1" s="1"/>
  <c r="B25" i="13"/>
  <c r="B33" i="13"/>
  <c r="B23" i="18" s="1"/>
  <c r="B41" i="13"/>
  <c r="B49" i="13"/>
  <c r="B57" i="13"/>
  <c r="B65" i="13"/>
  <c r="H3" i="3" s="1"/>
  <c r="B97" i="13"/>
  <c r="P103" i="4" s="1"/>
  <c r="B105" i="13"/>
  <c r="E3" i="5" s="1"/>
  <c r="B113" i="13"/>
  <c r="F44" i="5" s="1"/>
  <c r="B121" i="13"/>
  <c r="B10" i="6" s="1"/>
  <c r="B129" i="13"/>
  <c r="B137" i="13"/>
  <c r="G23" i="6" s="1"/>
  <c r="B145" i="13"/>
  <c r="E27" i="6" s="1"/>
  <c r="B153" i="13"/>
  <c r="B161" i="13"/>
  <c r="B10" i="11" s="1"/>
  <c r="B169" i="13"/>
  <c r="B185" i="13"/>
  <c r="B38" i="11" s="1"/>
  <c r="B201" i="13"/>
  <c r="B46" i="11" s="1"/>
  <c r="B217" i="13"/>
  <c r="A80" i="11" s="1"/>
  <c r="B233" i="13"/>
  <c r="D3" i="7" s="1"/>
  <c r="B241" i="13"/>
  <c r="H7" i="7" s="1"/>
  <c r="B257" i="13"/>
  <c r="C34" i="9" s="1"/>
  <c r="B273" i="13"/>
  <c r="C50" i="9" s="1"/>
  <c r="B289" i="13"/>
  <c r="C66" i="9" s="1"/>
  <c r="G43" i="4" s="1"/>
  <c r="B313" i="13"/>
  <c r="C116" i="10" s="1"/>
  <c r="B329" i="13"/>
  <c r="H8" i="7" s="1"/>
  <c r="B345" i="13"/>
  <c r="S3" i="4" s="1"/>
  <c r="B369" i="13"/>
  <c r="A14" i="11" s="1"/>
  <c r="B10" i="13"/>
  <c r="B42" i="13"/>
  <c r="B58" i="13"/>
  <c r="B74" i="13"/>
  <c r="H114" i="3" s="1"/>
  <c r="B90" i="13"/>
  <c r="B106" i="13"/>
  <c r="F3" i="5" s="1"/>
  <c r="B122" i="13"/>
  <c r="B11" i="6" s="1"/>
  <c r="B146" i="13"/>
  <c r="E28" i="6" s="1"/>
  <c r="B170" i="13"/>
  <c r="A26" i="11" s="1"/>
  <c r="B186" i="13"/>
  <c r="B39" i="11" s="1"/>
  <c r="B210" i="13"/>
  <c r="B55" i="11" s="1"/>
  <c r="B226" i="13"/>
  <c r="A10" i="11" s="1"/>
  <c r="B250" i="13"/>
  <c r="C27" i="9" s="1"/>
  <c r="B266" i="13"/>
  <c r="C43" i="9" s="1"/>
  <c r="B298" i="13"/>
  <c r="C101" i="10" s="1"/>
  <c r="B314" i="13"/>
  <c r="C117" i="10" s="1"/>
  <c r="B370" i="13"/>
  <c r="A15" i="11" s="1"/>
  <c r="B300" i="13"/>
  <c r="C103" i="10" s="1"/>
  <c r="B324" i="13"/>
  <c r="B8" i="5" s="1"/>
  <c r="B349" i="13"/>
  <c r="B309" i="13"/>
  <c r="C112" i="10" s="1"/>
  <c r="B245" i="13"/>
  <c r="F45" i="6" s="1"/>
  <c r="B181" i="13"/>
  <c r="B34" i="11" s="1"/>
  <c r="B117" i="13"/>
  <c r="C5" i="6" s="1"/>
  <c r="B53" i="13"/>
  <c r="B9" i="13"/>
  <c r="B301" i="13"/>
  <c r="C104" i="10" s="1"/>
  <c r="B237" i="13"/>
  <c r="B5" i="7" s="1"/>
  <c r="B173" i="13"/>
  <c r="B109" i="13"/>
  <c r="B43" i="5" s="1"/>
  <c r="B45" i="13"/>
  <c r="B373" i="13"/>
  <c r="B11" i="7" s="1"/>
  <c r="B341" i="13"/>
  <c r="E13" i="1" s="1"/>
  <c r="B293" i="13"/>
  <c r="C96" i="10" s="1"/>
  <c r="B229" i="13"/>
  <c r="A13" i="11" s="1"/>
  <c r="B165" i="13"/>
  <c r="H7" i="11" s="1"/>
  <c r="B101" i="13"/>
  <c r="B2" i="5" s="1"/>
  <c r="B37" i="13"/>
  <c r="A374" i="13"/>
  <c r="A366" i="13"/>
  <c r="A358" i="13"/>
  <c r="A350" i="13"/>
  <c r="A342" i="13"/>
  <c r="A334" i="13"/>
  <c r="A326" i="13"/>
  <c r="A318" i="13"/>
  <c r="A310" i="13"/>
  <c r="A302" i="13"/>
  <c r="A294" i="13"/>
  <c r="A286" i="13"/>
  <c r="A278" i="13"/>
  <c r="A270" i="13"/>
  <c r="A262" i="13"/>
  <c r="A254" i="13"/>
  <c r="A246" i="13"/>
  <c r="A238" i="13"/>
  <c r="A230" i="13"/>
  <c r="A222" i="13"/>
  <c r="A214" i="13"/>
  <c r="A206" i="13"/>
  <c r="A198" i="13"/>
  <c r="A190" i="13"/>
  <c r="A182" i="13"/>
  <c r="A174" i="13"/>
  <c r="A166" i="13"/>
  <c r="A158" i="13"/>
  <c r="A150" i="13"/>
  <c r="A142" i="13"/>
  <c r="A134" i="13"/>
  <c r="A126" i="13"/>
  <c r="A118" i="13"/>
  <c r="A110" i="13"/>
  <c r="A102" i="13"/>
  <c r="A94" i="13"/>
  <c r="A86" i="13"/>
  <c r="A78" i="13"/>
  <c r="A70" i="13"/>
  <c r="A62" i="13"/>
  <c r="A54" i="13"/>
  <c r="A46" i="13"/>
  <c r="A38" i="13"/>
  <c r="A30" i="13"/>
  <c r="A22" i="13"/>
  <c r="A14" i="13"/>
  <c r="A6" i="13"/>
  <c r="A67" i="13"/>
  <c r="A11" i="13"/>
  <c r="A193" i="13"/>
  <c r="A97" i="13"/>
  <c r="A41" i="13"/>
  <c r="A312" i="13"/>
  <c r="A296" i="13"/>
  <c r="A264" i="13"/>
  <c r="A208" i="13"/>
  <c r="A152" i="13"/>
  <c r="A112" i="13"/>
  <c r="A80" i="13"/>
  <c r="A40" i="13"/>
  <c r="A343" i="13"/>
  <c r="A215" i="13"/>
  <c r="A159" i="13"/>
  <c r="A95" i="13"/>
  <c r="A31" i="13"/>
  <c r="A373" i="13"/>
  <c r="A365" i="13"/>
  <c r="A357" i="13"/>
  <c r="A349" i="13"/>
  <c r="A341" i="13"/>
  <c r="A333" i="13"/>
  <c r="A325" i="13"/>
  <c r="A317" i="13"/>
  <c r="A309" i="13"/>
  <c r="A301" i="13"/>
  <c r="A293" i="13"/>
  <c r="A285" i="13"/>
  <c r="A277" i="13"/>
  <c r="A269" i="13"/>
  <c r="A261" i="13"/>
  <c r="A253" i="13"/>
  <c r="A245" i="13"/>
  <c r="A237" i="13"/>
  <c r="A229" i="13"/>
  <c r="A221" i="13"/>
  <c r="A213" i="13"/>
  <c r="A205" i="13"/>
  <c r="A197" i="13"/>
  <c r="A189" i="13"/>
  <c r="A181" i="13"/>
  <c r="A173" i="13"/>
  <c r="A165" i="13"/>
  <c r="A157" i="13"/>
  <c r="A149" i="13"/>
  <c r="A141" i="13"/>
  <c r="A133" i="13"/>
  <c r="A125" i="13"/>
  <c r="A117" i="13"/>
  <c r="A109" i="13"/>
  <c r="A101" i="13"/>
  <c r="A93" i="13"/>
  <c r="A85" i="13"/>
  <c r="A77" i="13"/>
  <c r="A69" i="13"/>
  <c r="A61" i="13"/>
  <c r="A53" i="13"/>
  <c r="A45" i="13"/>
  <c r="A37" i="13"/>
  <c r="A29" i="13"/>
  <c r="A21" i="13"/>
  <c r="A13" i="13"/>
  <c r="A5" i="13"/>
  <c r="A59" i="13"/>
  <c r="A43" i="13"/>
  <c r="A19" i="13"/>
  <c r="A209" i="13"/>
  <c r="A121" i="13"/>
  <c r="A89" i="13"/>
  <c r="A57" i="13"/>
  <c r="A17" i="13"/>
  <c r="A360" i="13"/>
  <c r="A328" i="13"/>
  <c r="A280" i="13"/>
  <c r="A256" i="13"/>
  <c r="A224" i="13"/>
  <c r="A200" i="13"/>
  <c r="A168" i="13"/>
  <c r="A136" i="13"/>
  <c r="A96" i="13"/>
  <c r="A56" i="13"/>
  <c r="A32" i="13"/>
  <c r="A351" i="13"/>
  <c r="A319" i="13"/>
  <c r="A295" i="13"/>
  <c r="A279" i="13"/>
  <c r="A263" i="13"/>
  <c r="A247" i="13"/>
  <c r="A207" i="13"/>
  <c r="A183" i="13"/>
  <c r="A143" i="13"/>
  <c r="A111" i="13"/>
  <c r="A79" i="13"/>
  <c r="A55" i="13"/>
  <c r="A23" i="13"/>
  <c r="A7" i="13"/>
  <c r="A372" i="13"/>
  <c r="A364" i="13"/>
  <c r="A356" i="13"/>
  <c r="A348" i="13"/>
  <c r="A340" i="13"/>
  <c r="A332" i="13"/>
  <c r="A324" i="13"/>
  <c r="A316" i="13"/>
  <c r="A308" i="13"/>
  <c r="A300" i="13"/>
  <c r="A292" i="13"/>
  <c r="A284" i="13"/>
  <c r="A276" i="13"/>
  <c r="A268" i="13"/>
  <c r="A260" i="13"/>
  <c r="A252" i="13"/>
  <c r="A244" i="13"/>
  <c r="A236" i="13"/>
  <c r="A228" i="13"/>
  <c r="A220" i="13"/>
  <c r="A212" i="13"/>
  <c r="A204" i="13"/>
  <c r="A196" i="13"/>
  <c r="A188" i="13"/>
  <c r="A180" i="13"/>
  <c r="A172" i="13"/>
  <c r="A164" i="13"/>
  <c r="A156" i="13"/>
  <c r="A148" i="13"/>
  <c r="A140" i="13"/>
  <c r="A132" i="13"/>
  <c r="A124" i="13"/>
  <c r="A116" i="13"/>
  <c r="A108" i="13"/>
  <c r="A100" i="13"/>
  <c r="A92" i="13"/>
  <c r="A84" i="13"/>
  <c r="A76" i="13"/>
  <c r="A68" i="13"/>
  <c r="A60" i="13"/>
  <c r="A52" i="13"/>
  <c r="A44" i="13"/>
  <c r="A36" i="13"/>
  <c r="A28" i="13"/>
  <c r="A20" i="13"/>
  <c r="A12" i="13"/>
  <c r="A4" i="13"/>
  <c r="A27" i="13"/>
  <c r="A169" i="13"/>
  <c r="A73" i="13"/>
  <c r="A367" i="13"/>
  <c r="A303" i="13"/>
  <c r="A223" i="13"/>
  <c r="A135" i="13"/>
  <c r="A47" i="13"/>
  <c r="A371" i="13"/>
  <c r="A363" i="13"/>
  <c r="A355" i="13"/>
  <c r="A347" i="13"/>
  <c r="A339" i="13"/>
  <c r="A331" i="13"/>
  <c r="A323" i="13"/>
  <c r="A315" i="13"/>
  <c r="A307" i="13"/>
  <c r="A299" i="13"/>
  <c r="A291" i="13"/>
  <c r="A283" i="13"/>
  <c r="A275" i="13"/>
  <c r="A267" i="13"/>
  <c r="A259" i="13"/>
  <c r="A251" i="13"/>
  <c r="A243" i="13"/>
  <c r="A235" i="13"/>
  <c r="A227" i="13"/>
  <c r="A219" i="13"/>
  <c r="A211" i="13"/>
  <c r="A203" i="13"/>
  <c r="A195" i="13"/>
  <c r="A187" i="13"/>
  <c r="A179" i="13"/>
  <c r="A171" i="13"/>
  <c r="A163" i="13"/>
  <c r="A155" i="13"/>
  <c r="A147" i="13"/>
  <c r="A139" i="13"/>
  <c r="A131" i="13"/>
  <c r="A123" i="13"/>
  <c r="A115" i="13"/>
  <c r="A107" i="13"/>
  <c r="A99" i="13"/>
  <c r="A91" i="13"/>
  <c r="A83" i="13"/>
  <c r="A75" i="13"/>
  <c r="A51" i="13"/>
  <c r="A35" i="13"/>
  <c r="A137" i="13"/>
  <c r="A49" i="13"/>
  <c r="A344" i="13"/>
  <c r="A288" i="13"/>
  <c r="A232" i="13"/>
  <c r="A176" i="13"/>
  <c r="A120" i="13"/>
  <c r="A72" i="13"/>
  <c r="A8" i="13"/>
  <c r="A327" i="13"/>
  <c r="A199" i="13"/>
  <c r="A119" i="13"/>
  <c r="A63" i="13"/>
  <c r="A370" i="13"/>
  <c r="A362" i="13"/>
  <c r="A354" i="13"/>
  <c r="A346" i="13"/>
  <c r="A338" i="13"/>
  <c r="A330" i="13"/>
  <c r="A322" i="13"/>
  <c r="A314" i="13"/>
  <c r="A306" i="13"/>
  <c r="A298" i="13"/>
  <c r="A290" i="13"/>
  <c r="A282" i="13"/>
  <c r="A274" i="13"/>
  <c r="A266" i="13"/>
  <c r="A258" i="13"/>
  <c r="A250" i="13"/>
  <c r="A242" i="13"/>
  <c r="A234" i="13"/>
  <c r="A226" i="13"/>
  <c r="A218" i="13"/>
  <c r="A210" i="13"/>
  <c r="A202" i="13"/>
  <c r="A194" i="13"/>
  <c r="A186" i="13"/>
  <c r="A178" i="13"/>
  <c r="A170" i="13"/>
  <c r="A162" i="13"/>
  <c r="A154" i="13"/>
  <c r="A146" i="13"/>
  <c r="A138" i="13"/>
  <c r="A130" i="13"/>
  <c r="A122" i="13"/>
  <c r="A114" i="13"/>
  <c r="A106" i="13"/>
  <c r="A98" i="13"/>
  <c r="A90" i="13"/>
  <c r="A82" i="13"/>
  <c r="A74" i="13"/>
  <c r="A66" i="13"/>
  <c r="A58" i="13"/>
  <c r="A50" i="13"/>
  <c r="A42" i="13"/>
  <c r="A34" i="13"/>
  <c r="A26" i="13"/>
  <c r="A18" i="13"/>
  <c r="A10" i="13"/>
  <c r="A281" i="13"/>
  <c r="A153" i="13"/>
  <c r="A113" i="13"/>
  <c r="A81" i="13"/>
  <c r="A33" i="13"/>
  <c r="A9" i="13"/>
  <c r="A368" i="13"/>
  <c r="A320" i="13"/>
  <c r="A272" i="13"/>
  <c r="A248" i="13"/>
  <c r="A216" i="13"/>
  <c r="A192" i="13"/>
  <c r="A160" i="13"/>
  <c r="A128" i="13"/>
  <c r="A88" i="13"/>
  <c r="A48" i="13"/>
  <c r="A24" i="13"/>
  <c r="A359" i="13"/>
  <c r="A311" i="13"/>
  <c r="A287" i="13"/>
  <c r="A271" i="13"/>
  <c r="A255" i="13"/>
  <c r="A239" i="13"/>
  <c r="A191" i="13"/>
  <c r="A175" i="13"/>
  <c r="A151" i="13"/>
  <c r="A127" i="13"/>
  <c r="A87" i="13"/>
  <c r="A71" i="13"/>
  <c r="A15" i="13"/>
  <c r="A369" i="13"/>
  <c r="A361" i="13"/>
  <c r="A353" i="13"/>
  <c r="A345" i="13"/>
  <c r="A337" i="13"/>
  <c r="A329" i="13"/>
  <c r="A321" i="13"/>
  <c r="A313" i="13"/>
  <c r="A305" i="13"/>
  <c r="A297" i="13"/>
  <c r="A289" i="13"/>
  <c r="A273" i="13"/>
  <c r="A265" i="13"/>
  <c r="A257" i="13"/>
  <c r="A249" i="13"/>
  <c r="A241" i="13"/>
  <c r="A233" i="13"/>
  <c r="A225" i="13"/>
  <c r="A217" i="13"/>
  <c r="A201" i="13"/>
  <c r="A185" i="13"/>
  <c r="A177" i="13"/>
  <c r="A161" i="13"/>
  <c r="A145" i="13"/>
  <c r="A129" i="13"/>
  <c r="A105" i="13"/>
  <c r="A65" i="13"/>
  <c r="A25" i="13"/>
  <c r="A352" i="13"/>
  <c r="A304" i="13"/>
  <c r="A240" i="13"/>
  <c r="A184" i="13"/>
  <c r="A144" i="13"/>
  <c r="A104" i="13"/>
  <c r="A64" i="13"/>
  <c r="A16" i="13"/>
  <c r="A335" i="13"/>
  <c r="A231" i="13"/>
  <c r="A167" i="13"/>
  <c r="A103" i="13"/>
  <c r="A39" i="13"/>
  <c r="O28" i="3"/>
  <c r="G7" i="6"/>
  <c r="K7" i="6" s="1"/>
  <c r="G5" i="7"/>
  <c r="B122" i="10" l="1"/>
  <c r="B112" i="10"/>
  <c r="B126" i="10"/>
  <c r="G53" i="3" s="1"/>
  <c r="B115" i="10"/>
  <c r="B129" i="10"/>
  <c r="B121" i="10"/>
  <c r="B111" i="10"/>
  <c r="B127" i="10"/>
  <c r="B116" i="10"/>
  <c r="B113" i="10"/>
  <c r="B128" i="10"/>
  <c r="G55" i="3" s="1"/>
  <c r="B120" i="10"/>
  <c r="B110" i="10"/>
  <c r="B119" i="10"/>
  <c r="B117" i="10"/>
  <c r="B124" i="10"/>
  <c r="G56" i="3" s="1"/>
  <c r="B123" i="10"/>
  <c r="B125" i="10"/>
  <c r="G52" i="3" s="1"/>
  <c r="B108" i="10"/>
  <c r="B104" i="10"/>
  <c r="B96" i="10"/>
  <c r="B118" i="10"/>
  <c r="B93" i="10"/>
  <c r="B107" i="10"/>
  <c r="B98" i="10"/>
  <c r="B105" i="10"/>
  <c r="B103" i="10"/>
  <c r="B95" i="10"/>
  <c r="B114" i="10"/>
  <c r="B99" i="10"/>
  <c r="B106" i="10"/>
  <c r="B102" i="10"/>
  <c r="B94" i="10"/>
  <c r="G30" i="3" s="1"/>
  <c r="B101" i="10"/>
  <c r="B100" i="10"/>
  <c r="B97" i="10"/>
  <c r="A2" i="4"/>
  <c r="B109" i="10"/>
  <c r="A27" i="17"/>
  <c r="B48" i="1"/>
  <c r="B45" i="1"/>
  <c r="A24" i="17"/>
  <c r="A31" i="17"/>
  <c r="B52" i="1"/>
  <c r="B49" i="1"/>
  <c r="A28" i="17"/>
  <c r="E27" i="11"/>
  <c r="E3" i="7"/>
  <c r="A25" i="17"/>
  <c r="B46" i="1"/>
  <c r="A29" i="17"/>
  <c r="B50" i="1"/>
  <c r="G15" i="1"/>
  <c r="B51" i="1"/>
  <c r="A30" i="17"/>
  <c r="A26" i="17"/>
  <c r="B47" i="1"/>
  <c r="H6" i="3"/>
  <c r="J6" i="3" s="1"/>
  <c r="I11" i="3"/>
  <c r="J10" i="3"/>
  <c r="J7" i="3"/>
  <c r="M7" i="3" s="1"/>
  <c r="J8" i="3"/>
  <c r="J11" i="3"/>
  <c r="I10" i="3"/>
  <c r="J9" i="3"/>
  <c r="I8" i="3"/>
  <c r="I9" i="3"/>
  <c r="I7" i="3"/>
  <c r="H16" i="3"/>
  <c r="J16" i="3" s="1"/>
  <c r="J21" i="3"/>
  <c r="I17" i="3"/>
  <c r="I18" i="3"/>
  <c r="I19" i="3"/>
  <c r="J17" i="3"/>
  <c r="M17" i="3" s="1"/>
  <c r="J19" i="3"/>
  <c r="I20" i="3"/>
  <c r="J18" i="3"/>
  <c r="J20" i="3"/>
  <c r="I21" i="3"/>
  <c r="B5" i="16"/>
  <c r="B5" i="18"/>
  <c r="B16" i="16"/>
  <c r="B16" i="18"/>
  <c r="B20" i="16"/>
  <c r="B20" i="18"/>
  <c r="B9" i="16"/>
  <c r="B9" i="18"/>
  <c r="B27" i="18"/>
  <c r="B18" i="18"/>
  <c r="D20" i="18"/>
  <c r="D9" i="18"/>
  <c r="B10" i="16"/>
  <c r="B10" i="18"/>
  <c r="B15" i="16"/>
  <c r="B15" i="18"/>
  <c r="B26" i="16"/>
  <c r="B26" i="18"/>
  <c r="B11" i="16"/>
  <c r="B11" i="18"/>
  <c r="B6" i="16"/>
  <c r="B6" i="18"/>
  <c r="B13" i="16"/>
  <c r="B13" i="18"/>
  <c r="B7" i="16"/>
  <c r="B7" i="18"/>
  <c r="B17" i="16"/>
  <c r="B17" i="18"/>
  <c r="B12" i="16"/>
  <c r="B12" i="18"/>
  <c r="B14" i="16"/>
  <c r="B14" i="18"/>
  <c r="B4" i="16"/>
  <c r="B4" i="18"/>
  <c r="C9" i="16"/>
  <c r="C9" i="18"/>
  <c r="C20" i="16"/>
  <c r="C20" i="18"/>
  <c r="B2" i="16"/>
  <c r="G16" i="3"/>
  <c r="G6" i="3"/>
  <c r="V73" i="4"/>
  <c r="G3" i="3"/>
  <c r="G27" i="3"/>
  <c r="T66" i="4"/>
  <c r="V82" i="4"/>
  <c r="T89" i="4"/>
  <c r="T98" i="4"/>
  <c r="T90" i="4"/>
  <c r="V44" i="4"/>
  <c r="T65" i="4"/>
  <c r="T50" i="4"/>
  <c r="T97" i="4"/>
  <c r="T74" i="4"/>
  <c r="E20" i="1"/>
  <c r="B20" i="1"/>
  <c r="H35" i="4"/>
  <c r="B23" i="16"/>
  <c r="D27" i="3"/>
  <c r="D3" i="3"/>
  <c r="H43" i="4"/>
  <c r="B12" i="1"/>
  <c r="J109" i="3"/>
  <c r="B24" i="16"/>
  <c r="E3" i="3"/>
  <c r="E27" i="3"/>
  <c r="B25" i="16"/>
  <c r="F3" i="3"/>
  <c r="F27" i="3"/>
  <c r="H38" i="4"/>
  <c r="H42" i="4"/>
  <c r="B22" i="16"/>
  <c r="C27" i="3"/>
  <c r="C3" i="3"/>
  <c r="H34" i="4"/>
  <c r="B27" i="16"/>
  <c r="D20" i="16"/>
  <c r="B18" i="16"/>
  <c r="D9" i="16"/>
  <c r="E12" i="1"/>
  <c r="K109" i="3"/>
  <c r="J6" i="4"/>
  <c r="H6" i="4"/>
  <c r="H40" i="4"/>
  <c r="H36" i="4"/>
  <c r="B41" i="1"/>
  <c r="E41" i="1"/>
  <c r="H41" i="4"/>
  <c r="B21" i="16"/>
  <c r="B3" i="4"/>
  <c r="B27" i="3"/>
  <c r="B3" i="3"/>
  <c r="T57" i="4"/>
  <c r="T49" i="4"/>
  <c r="T58" i="4"/>
  <c r="T81" i="4"/>
  <c r="L27" i="3"/>
  <c r="L3" i="3"/>
  <c r="T3" i="4"/>
  <c r="E35" i="1"/>
  <c r="B35" i="1"/>
  <c r="E37" i="1"/>
  <c r="B37" i="1"/>
  <c r="B40" i="1"/>
  <c r="E40" i="1"/>
  <c r="E36" i="1"/>
  <c r="B38" i="1"/>
  <c r="E38" i="1"/>
  <c r="E39" i="1"/>
  <c r="B39" i="1"/>
  <c r="K5" i="7"/>
  <c r="J43" i="4"/>
  <c r="J42" i="4"/>
  <c r="J36" i="4"/>
  <c r="J38" i="4"/>
  <c r="J41" i="4"/>
  <c r="J35" i="4"/>
  <c r="J34" i="4"/>
  <c r="J40" i="4"/>
  <c r="V54" i="4"/>
  <c r="T54" i="4"/>
  <c r="V62" i="4"/>
  <c r="T62" i="4"/>
  <c r="V70" i="4"/>
  <c r="T70" i="4"/>
  <c r="V78" i="4"/>
  <c r="T78" i="4"/>
  <c r="V86" i="4"/>
  <c r="T86" i="4"/>
  <c r="V94" i="4"/>
  <c r="T94" i="4"/>
  <c r="V45" i="4"/>
  <c r="T45" i="4"/>
  <c r="V48" i="4"/>
  <c r="T48" i="4"/>
  <c r="V56" i="4"/>
  <c r="T56" i="4"/>
  <c r="V64" i="4"/>
  <c r="T64" i="4"/>
  <c r="V72" i="4"/>
  <c r="T72" i="4"/>
  <c r="V80" i="4"/>
  <c r="T80" i="4"/>
  <c r="V88" i="4"/>
  <c r="T88" i="4"/>
  <c r="V96" i="4"/>
  <c r="T96" i="4"/>
  <c r="V52" i="4"/>
  <c r="T52" i="4"/>
  <c r="V60" i="4"/>
  <c r="T60" i="4"/>
  <c r="V68" i="4"/>
  <c r="T68" i="4"/>
  <c r="V76" i="4"/>
  <c r="T76" i="4"/>
  <c r="V84" i="4"/>
  <c r="T84" i="4"/>
  <c r="V92" i="4"/>
  <c r="T92" i="4"/>
  <c r="V47" i="4"/>
  <c r="T47" i="4"/>
  <c r="V63" i="4"/>
  <c r="T63" i="4"/>
  <c r="V79" i="4"/>
  <c r="T79" i="4"/>
  <c r="V95" i="4"/>
  <c r="T95" i="4"/>
  <c r="V53" i="4"/>
  <c r="T53" i="4"/>
  <c r="V61" i="4"/>
  <c r="T61" i="4"/>
  <c r="V69" i="4"/>
  <c r="T69" i="4"/>
  <c r="V55" i="4"/>
  <c r="T55" i="4"/>
  <c r="V71" i="4"/>
  <c r="T71" i="4"/>
  <c r="V87" i="4"/>
  <c r="T87" i="4"/>
  <c r="V93" i="4"/>
  <c r="T93" i="4"/>
  <c r="V77" i="4"/>
  <c r="T77" i="4"/>
  <c r="V85" i="4"/>
  <c r="T85" i="4"/>
  <c r="V46" i="4"/>
  <c r="T46" i="4"/>
  <c r="B18" i="1"/>
  <c r="D3" i="4"/>
  <c r="E3" i="4"/>
  <c r="F3" i="4"/>
  <c r="B13" i="1"/>
  <c r="C3" i="4"/>
  <c r="B19" i="1"/>
  <c r="B17" i="1"/>
  <c r="B21" i="1"/>
  <c r="B44" i="1"/>
  <c r="B10" i="1"/>
  <c r="B32" i="1"/>
  <c r="B24" i="1"/>
  <c r="B23" i="1"/>
  <c r="B6" i="1"/>
  <c r="B15" i="1"/>
  <c r="B16" i="1"/>
  <c r="B14" i="1"/>
  <c r="B8" i="1"/>
  <c r="B9" i="1"/>
  <c r="B25" i="1"/>
  <c r="J57" i="3"/>
  <c r="K27" i="11"/>
  <c r="AA2" i="4"/>
  <c r="P104" i="4"/>
  <c r="K4" i="6"/>
  <c r="K3" i="7"/>
  <c r="K6" i="11"/>
  <c r="I3" i="5"/>
  <c r="V3" i="4"/>
  <c r="R3" i="4"/>
  <c r="O3" i="3"/>
  <c r="G9" i="6"/>
  <c r="G10" i="6" s="1"/>
  <c r="P3" i="4"/>
  <c r="L3" i="4"/>
  <c r="G27" i="11"/>
  <c r="M3" i="4"/>
  <c r="H27" i="11"/>
  <c r="G39" i="4"/>
  <c r="H39" i="4" s="1"/>
  <c r="G37" i="4"/>
  <c r="H37" i="4" s="1"/>
  <c r="B2" i="3"/>
  <c r="I27" i="11"/>
  <c r="B6" i="11"/>
  <c r="B27" i="11"/>
  <c r="H70" i="11"/>
  <c r="J27" i="3"/>
  <c r="J4" i="3"/>
  <c r="D27" i="11"/>
  <c r="D6" i="11"/>
  <c r="K27" i="3"/>
  <c r="O27" i="3" s="1"/>
  <c r="K4" i="3"/>
  <c r="F4" i="3"/>
  <c r="A81" i="11"/>
  <c r="F24" i="11"/>
  <c r="A76" i="11"/>
  <c r="E71" i="11"/>
  <c r="G4" i="3"/>
  <c r="A27" i="11"/>
  <c r="C6" i="11"/>
  <c r="C27" i="11"/>
  <c r="H4" i="3"/>
  <c r="H27" i="3"/>
  <c r="E70" i="11"/>
  <c r="A75" i="11"/>
  <c r="A79" i="11"/>
  <c r="F23" i="11"/>
  <c r="I4" i="3"/>
  <c r="I27" i="3"/>
  <c r="F27" i="11"/>
  <c r="G6" i="11"/>
  <c r="B79" i="11"/>
  <c r="G54" i="3" l="1"/>
  <c r="G57" i="3"/>
  <c r="G44" i="3"/>
  <c r="G15" i="3"/>
  <c r="G5" i="3"/>
  <c r="I6" i="3"/>
  <c r="K6" i="3" s="1"/>
  <c r="K10" i="3"/>
  <c r="O10" i="3" s="1"/>
  <c r="AA6" i="4"/>
  <c r="AC6" i="4" s="1"/>
  <c r="K19" i="3"/>
  <c r="O19" i="3" s="1"/>
  <c r="K20" i="3"/>
  <c r="I16" i="3"/>
  <c r="K16" i="3" s="1"/>
  <c r="K11" i="3"/>
  <c r="AA34" i="4"/>
  <c r="AB34" i="4" s="1"/>
  <c r="B80" i="11"/>
  <c r="O6" i="4"/>
  <c r="R6" i="4" s="1"/>
  <c r="K6" i="4"/>
  <c r="N6" i="4" s="1"/>
  <c r="Q6" i="4" s="1"/>
  <c r="B81" i="11"/>
  <c r="AA36" i="4"/>
  <c r="AB36" i="4" s="1"/>
  <c r="AA43" i="4"/>
  <c r="AB43" i="4" s="1"/>
  <c r="AA40" i="4"/>
  <c r="AB40" i="4" s="1"/>
  <c r="AA38" i="4"/>
  <c r="AC38" i="4" s="1"/>
  <c r="AA41" i="4"/>
  <c r="AB41" i="4" s="1"/>
  <c r="K21" i="3"/>
  <c r="K22" i="3"/>
  <c r="K24" i="3"/>
  <c r="K23" i="3"/>
  <c r="J37" i="4"/>
  <c r="J39" i="4"/>
  <c r="I49" i="6"/>
  <c r="I48" i="6"/>
  <c r="O40" i="4"/>
  <c r="R40" i="4" s="1"/>
  <c r="K40" i="4"/>
  <c r="N40" i="4" s="1"/>
  <c r="Q40" i="4" s="1"/>
  <c r="K35" i="4"/>
  <c r="O35" i="4"/>
  <c r="R35" i="4" s="1"/>
  <c r="O41" i="4"/>
  <c r="R41" i="4" s="1"/>
  <c r="K41" i="4"/>
  <c r="N41" i="4" s="1"/>
  <c r="Q41" i="4" s="1"/>
  <c r="O38" i="4"/>
  <c r="R38" i="4" s="1"/>
  <c r="K38" i="4"/>
  <c r="N38" i="4" s="1"/>
  <c r="Q38" i="4" s="1"/>
  <c r="O36" i="4"/>
  <c r="R36" i="4" s="1"/>
  <c r="K36" i="4"/>
  <c r="N36" i="4" s="1"/>
  <c r="Q36" i="4" s="1"/>
  <c r="O42" i="4"/>
  <c r="R42" i="4" s="1"/>
  <c r="K42" i="4"/>
  <c r="N42" i="4" s="1"/>
  <c r="Q42" i="4" s="1"/>
  <c r="O43" i="4"/>
  <c r="R43" i="4" s="1"/>
  <c r="K43" i="4"/>
  <c r="N43" i="4" s="1"/>
  <c r="Q43" i="4" s="1"/>
  <c r="K13" i="3"/>
  <c r="K14" i="3"/>
  <c r="K57" i="3"/>
  <c r="O57" i="3" s="1"/>
  <c r="AA42" i="4"/>
  <c r="AB42" i="4" s="1"/>
  <c r="K9" i="6"/>
  <c r="AA35" i="4"/>
  <c r="B332" i="13"/>
  <c r="E22" i="1" s="1"/>
  <c r="B75" i="11"/>
  <c r="AB6" i="4" l="1"/>
  <c r="A6" i="4" s="1"/>
  <c r="L10" i="3"/>
  <c r="N35" i="4"/>
  <c r="Q35" i="4" s="1"/>
  <c r="S35" i="4" s="1"/>
  <c r="T35" i="4" s="1"/>
  <c r="L19" i="3"/>
  <c r="L11" i="3"/>
  <c r="O11" i="3"/>
  <c r="L20" i="3"/>
  <c r="O20" i="3"/>
  <c r="D16" i="16"/>
  <c r="C16" i="16" s="1"/>
  <c r="D16" i="18"/>
  <c r="C16" i="18" s="1"/>
  <c r="AC34" i="4"/>
  <c r="AC43" i="4"/>
  <c r="AC41" i="4"/>
  <c r="S6" i="4"/>
  <c r="B83" i="11"/>
  <c r="L13" i="3"/>
  <c r="O13" i="3"/>
  <c r="L6" i="3"/>
  <c r="O6" i="3"/>
  <c r="L16" i="3"/>
  <c r="O16" i="3"/>
  <c r="L23" i="3"/>
  <c r="O23" i="3"/>
  <c r="L21" i="3"/>
  <c r="O21" i="3"/>
  <c r="L24" i="3"/>
  <c r="O24" i="3"/>
  <c r="L14" i="3"/>
  <c r="O14" i="3"/>
  <c r="L22" i="3"/>
  <c r="O22" i="3"/>
  <c r="AC40" i="4"/>
  <c r="AC36" i="4"/>
  <c r="AB38" i="4"/>
  <c r="K10" i="6"/>
  <c r="S41" i="4"/>
  <c r="V41" i="4" s="1"/>
  <c r="L57" i="3"/>
  <c r="S36" i="4"/>
  <c r="V36" i="4" s="1"/>
  <c r="S40" i="4"/>
  <c r="T40" i="4" s="1"/>
  <c r="S43" i="4"/>
  <c r="T43" i="4" s="1"/>
  <c r="S38" i="4"/>
  <c r="V38" i="4" s="1"/>
  <c r="S42" i="4"/>
  <c r="T42" i="4" s="1"/>
  <c r="O39" i="4"/>
  <c r="R39" i="4" s="1"/>
  <c r="K39" i="4"/>
  <c r="N39" i="4" s="1"/>
  <c r="Q39" i="4" s="1"/>
  <c r="AA39" i="4"/>
  <c r="O37" i="4"/>
  <c r="R37" i="4" s="1"/>
  <c r="K37" i="4"/>
  <c r="N37" i="4" s="1"/>
  <c r="Q37" i="4" s="1"/>
  <c r="AA37" i="4"/>
  <c r="K5" i="3"/>
  <c r="B22" i="1"/>
  <c r="AC42" i="4"/>
  <c r="AB35" i="4"/>
  <c r="A35" i="4" s="1"/>
  <c r="AC35" i="4"/>
  <c r="V6" i="4" l="1"/>
  <c r="T6" i="4"/>
  <c r="T41" i="4"/>
  <c r="V43" i="4"/>
  <c r="V35" i="4"/>
  <c r="T36" i="4"/>
  <c r="T38" i="4"/>
  <c r="V40" i="4"/>
  <c r="V42" i="4"/>
  <c r="S39" i="4"/>
  <c r="V39" i="4" s="1"/>
  <c r="S37" i="4"/>
  <c r="T37" i="4" s="1"/>
  <c r="AB37" i="4"/>
  <c r="AC37" i="4"/>
  <c r="AB39" i="4"/>
  <c r="AC39" i="4"/>
  <c r="L5" i="3"/>
  <c r="O5" i="3"/>
  <c r="B352" i="13"/>
  <c r="J112" i="3"/>
  <c r="I112" i="3" s="1"/>
  <c r="E16" i="16" l="1"/>
  <c r="E16" i="18"/>
  <c r="T39" i="4"/>
  <c r="V37" i="4"/>
  <c r="H43" i="3"/>
  <c r="A42" i="4" l="1"/>
  <c r="E5" i="5"/>
  <c r="F5" i="5" s="1"/>
  <c r="A39" i="4"/>
  <c r="G31" i="4"/>
  <c r="H31" i="4" s="1"/>
  <c r="G30" i="4"/>
  <c r="H30" i="4" s="1"/>
  <c r="G20" i="4"/>
  <c r="H20" i="4" s="1"/>
  <c r="A34" i="4"/>
  <c r="A37" i="4"/>
  <c r="A38" i="4"/>
  <c r="A40" i="4"/>
  <c r="A41" i="4"/>
  <c r="A43" i="4"/>
  <c r="G22" i="4"/>
  <c r="H22" i="4" s="1"/>
  <c r="G23" i="4"/>
  <c r="H23" i="4" s="1"/>
  <c r="G24" i="4"/>
  <c r="H24" i="4" s="1"/>
  <c r="G25" i="4"/>
  <c r="H25" i="4" s="1"/>
  <c r="G26" i="4"/>
  <c r="H26" i="4" s="1"/>
  <c r="G27" i="4"/>
  <c r="H27" i="4" s="1"/>
  <c r="G28" i="4"/>
  <c r="H28" i="4" s="1"/>
  <c r="G29" i="4"/>
  <c r="H29" i="4" s="1"/>
  <c r="G32" i="4"/>
  <c r="H32" i="4" s="1"/>
  <c r="G33" i="4"/>
  <c r="H33" i="4" s="1"/>
  <c r="G21" i="4"/>
  <c r="H21" i="4" s="1"/>
  <c r="G18" i="4"/>
  <c r="H18" i="4" s="1"/>
  <c r="G17" i="4"/>
  <c r="H17" i="4" s="1"/>
  <c r="G15" i="4"/>
  <c r="H15" i="4" s="1"/>
  <c r="G51" i="3"/>
  <c r="H51" i="3"/>
  <c r="G50" i="3"/>
  <c r="H50" i="3"/>
  <c r="G49" i="3"/>
  <c r="H49" i="3"/>
  <c r="G48" i="3"/>
  <c r="H48" i="3"/>
  <c r="G47" i="3"/>
  <c r="H47" i="3"/>
  <c r="G43" i="3"/>
  <c r="H40" i="3"/>
  <c r="G40" i="3"/>
  <c r="J15" i="4" l="1"/>
  <c r="K15" i="4" s="1"/>
  <c r="N15" i="4" s="1"/>
  <c r="J17" i="4"/>
  <c r="O17" i="4" s="1"/>
  <c r="R17" i="4" s="1"/>
  <c r="J18" i="4"/>
  <c r="K18" i="4" s="1"/>
  <c r="N18" i="4" s="1"/>
  <c r="J21" i="4"/>
  <c r="O21" i="4" s="1"/>
  <c r="R21" i="4" s="1"/>
  <c r="J33" i="4"/>
  <c r="J32" i="4"/>
  <c r="K32" i="4" s="1"/>
  <c r="N32" i="4" s="1"/>
  <c r="J29" i="4"/>
  <c r="K29" i="4" s="1"/>
  <c r="N29" i="4" s="1"/>
  <c r="J28" i="4"/>
  <c r="O28" i="4" s="1"/>
  <c r="R28" i="4" s="1"/>
  <c r="J27" i="4"/>
  <c r="O27" i="4" s="1"/>
  <c r="R27" i="4" s="1"/>
  <c r="J26" i="4"/>
  <c r="K26" i="4" s="1"/>
  <c r="N26" i="4" s="1"/>
  <c r="J25" i="4"/>
  <c r="K25" i="4" s="1"/>
  <c r="N25" i="4" s="1"/>
  <c r="J24" i="4"/>
  <c r="J23" i="4"/>
  <c r="O23" i="4" s="1"/>
  <c r="R23" i="4" s="1"/>
  <c r="J22" i="4"/>
  <c r="J20" i="4"/>
  <c r="J30" i="4"/>
  <c r="K30" i="4" s="1"/>
  <c r="N30" i="4" s="1"/>
  <c r="J31" i="4"/>
  <c r="K31" i="4" s="1"/>
  <c r="N31" i="4" s="1"/>
  <c r="C41" i="5"/>
  <c r="E45" i="5" s="1"/>
  <c r="I5" i="5"/>
  <c r="J48" i="3"/>
  <c r="I48" i="3"/>
  <c r="J49" i="3"/>
  <c r="I49" i="3"/>
  <c r="I50" i="3"/>
  <c r="J50" i="3"/>
  <c r="B334" i="13"/>
  <c r="E26" i="1" s="1"/>
  <c r="A36" i="4"/>
  <c r="O34" i="4"/>
  <c r="R34" i="4" s="1"/>
  <c r="K34" i="4"/>
  <c r="N34" i="4" s="1"/>
  <c r="Q34" i="4" s="1"/>
  <c r="D15" i="18" l="1"/>
  <c r="C15" i="18" s="1"/>
  <c r="F45" i="5"/>
  <c r="D15" i="16"/>
  <c r="C15" i="16" s="1"/>
  <c r="K22" i="4"/>
  <c r="N22" i="4" s="1"/>
  <c r="Q22" i="4" s="1"/>
  <c r="K17" i="4"/>
  <c r="N17" i="4" s="1"/>
  <c r="Q17" i="4" s="1"/>
  <c r="S17" i="4" s="1"/>
  <c r="Q26" i="4"/>
  <c r="K27" i="4"/>
  <c r="N27" i="4" s="1"/>
  <c r="Q27" i="4" s="1"/>
  <c r="S27" i="4" s="1"/>
  <c r="K33" i="4"/>
  <c r="N33" i="4" s="1"/>
  <c r="Q33" i="4" s="1"/>
  <c r="O33" i="4"/>
  <c r="R33" i="4" s="1"/>
  <c r="K23" i="4"/>
  <c r="N23" i="4" s="1"/>
  <c r="Q23" i="4" s="1"/>
  <c r="S23" i="4" s="1"/>
  <c r="Q31" i="4"/>
  <c r="O31" i="4"/>
  <c r="R31" i="4" s="1"/>
  <c r="Q15" i="4"/>
  <c r="O15" i="4"/>
  <c r="R15" i="4" s="1"/>
  <c r="Q25" i="4"/>
  <c r="Q18" i="4"/>
  <c r="O18" i="4"/>
  <c r="R18" i="4" s="1"/>
  <c r="Q29" i="4"/>
  <c r="O20" i="4"/>
  <c r="R20" i="4" s="1"/>
  <c r="K20" i="4"/>
  <c r="N20" i="4" s="1"/>
  <c r="Q20" i="4" s="1"/>
  <c r="O25" i="4"/>
  <c r="R25" i="4" s="1"/>
  <c r="O29" i="4"/>
  <c r="R29" i="4" s="1"/>
  <c r="O22" i="4"/>
  <c r="R22" i="4" s="1"/>
  <c r="O32" i="4"/>
  <c r="R32" i="4" s="1"/>
  <c r="Q32" i="4"/>
  <c r="O26" i="4"/>
  <c r="R26" i="4" s="1"/>
  <c r="O24" i="4"/>
  <c r="R24" i="4" s="1"/>
  <c r="Q30" i="4"/>
  <c r="K24" i="4"/>
  <c r="N24" i="4" s="1"/>
  <c r="Q24" i="4" s="1"/>
  <c r="K28" i="4"/>
  <c r="N28" i="4" s="1"/>
  <c r="Q28" i="4" s="1"/>
  <c r="S28" i="4" s="1"/>
  <c r="K21" i="4"/>
  <c r="N21" i="4" s="1"/>
  <c r="Q21" i="4" s="1"/>
  <c r="S21" i="4" s="1"/>
  <c r="O30" i="4"/>
  <c r="R30" i="4" s="1"/>
  <c r="AA31" i="4"/>
  <c r="AA30" i="4"/>
  <c r="AA20" i="4"/>
  <c r="AA22" i="4"/>
  <c r="AA23" i="4"/>
  <c r="AA24" i="4"/>
  <c r="AA25" i="4"/>
  <c r="AA26" i="4"/>
  <c r="AA27" i="4"/>
  <c r="AA28" i="4"/>
  <c r="AA29" i="4"/>
  <c r="AA32" i="4"/>
  <c r="AA33" i="4"/>
  <c r="AA21" i="4"/>
  <c r="AA18" i="4"/>
  <c r="AA17" i="4"/>
  <c r="AA15" i="4"/>
  <c r="B26" i="1"/>
  <c r="K48" i="3"/>
  <c r="K49" i="3"/>
  <c r="K50" i="3"/>
  <c r="S34" i="4"/>
  <c r="H6" i="12"/>
  <c r="G8" i="4"/>
  <c r="H8" i="4" s="1"/>
  <c r="G9" i="4"/>
  <c r="H9" i="4" s="1"/>
  <c r="G10" i="4"/>
  <c r="H10" i="4" s="1"/>
  <c r="G11" i="4"/>
  <c r="H11" i="4" s="1"/>
  <c r="G12" i="4"/>
  <c r="G13" i="4"/>
  <c r="H13" i="4" s="1"/>
  <c r="G14" i="4"/>
  <c r="H14" i="4" s="1"/>
  <c r="G16" i="4"/>
  <c r="H16" i="4" s="1"/>
  <c r="G19" i="4"/>
  <c r="H19" i="4" s="1"/>
  <c r="H30" i="3"/>
  <c r="H31" i="3"/>
  <c r="H32" i="3"/>
  <c r="H33" i="3"/>
  <c r="H34" i="3"/>
  <c r="H35" i="3"/>
  <c r="H36" i="3"/>
  <c r="H37" i="3"/>
  <c r="H38" i="3"/>
  <c r="H39" i="3"/>
  <c r="H41" i="3"/>
  <c r="H42" i="3"/>
  <c r="H44" i="3"/>
  <c r="H45" i="3"/>
  <c r="H46" i="3"/>
  <c r="G31" i="3"/>
  <c r="G32" i="3"/>
  <c r="G33" i="3"/>
  <c r="G34" i="3"/>
  <c r="G35" i="3"/>
  <c r="G36" i="3"/>
  <c r="G37" i="3"/>
  <c r="G38" i="3"/>
  <c r="G39" i="3"/>
  <c r="G41" i="3"/>
  <c r="G42" i="3"/>
  <c r="G45" i="3"/>
  <c r="G46" i="3"/>
  <c r="S22" i="4" l="1"/>
  <c r="T22" i="4" s="1"/>
  <c r="S33" i="4"/>
  <c r="T33" i="4" s="1"/>
  <c r="S24" i="4"/>
  <c r="T24" i="4" s="1"/>
  <c r="S20" i="4"/>
  <c r="V20" i="4" s="1"/>
  <c r="L49" i="3"/>
  <c r="O49" i="3"/>
  <c r="L48" i="3"/>
  <c r="O48" i="3"/>
  <c r="L50" i="3"/>
  <c r="O50" i="3"/>
  <c r="J12" i="4"/>
  <c r="K12" i="4" s="1"/>
  <c r="N12" i="4" s="1"/>
  <c r="H12" i="4"/>
  <c r="S26" i="4"/>
  <c r="T26" i="4" s="1"/>
  <c r="S15" i="4"/>
  <c r="V15" i="4" s="1"/>
  <c r="S31" i="4"/>
  <c r="V31" i="4" s="1"/>
  <c r="S18" i="4"/>
  <c r="T18" i="4" s="1"/>
  <c r="S29" i="4"/>
  <c r="V29" i="4" s="1"/>
  <c r="S25" i="4"/>
  <c r="V25" i="4" s="1"/>
  <c r="S32" i="4"/>
  <c r="V32" i="4" s="1"/>
  <c r="S30" i="4"/>
  <c r="V30" i="4" s="1"/>
  <c r="J19" i="4"/>
  <c r="O19" i="4" s="1"/>
  <c r="R19" i="4" s="1"/>
  <c r="J16" i="4"/>
  <c r="J14" i="4"/>
  <c r="J13" i="4"/>
  <c r="J11" i="4"/>
  <c r="K11" i="4" s="1"/>
  <c r="N11" i="4" s="1"/>
  <c r="J10" i="4"/>
  <c r="K10" i="4" s="1"/>
  <c r="N10" i="4" s="1"/>
  <c r="J9" i="4"/>
  <c r="J8" i="4"/>
  <c r="K8" i="4" s="1"/>
  <c r="N8" i="4" s="1"/>
  <c r="AB15" i="4"/>
  <c r="A15" i="4" s="1"/>
  <c r="AC15" i="4"/>
  <c r="AC17" i="4"/>
  <c r="AB17" i="4"/>
  <c r="A17" i="4" s="1"/>
  <c r="AB18" i="4"/>
  <c r="A18" i="4" s="1"/>
  <c r="AC18" i="4"/>
  <c r="AB21" i="4"/>
  <c r="A21" i="4" s="1"/>
  <c r="AC21" i="4"/>
  <c r="AC33" i="4"/>
  <c r="AB33" i="4"/>
  <c r="A33" i="4" s="1"/>
  <c r="AB32" i="4"/>
  <c r="A32" i="4" s="1"/>
  <c r="AC32" i="4"/>
  <c r="AB29" i="4"/>
  <c r="A29" i="4" s="1"/>
  <c r="AC29" i="4"/>
  <c r="AB28" i="4"/>
  <c r="A28" i="4" s="1"/>
  <c r="AC28" i="4"/>
  <c r="AB27" i="4"/>
  <c r="A27" i="4" s="1"/>
  <c r="AC27" i="4"/>
  <c r="AB26" i="4"/>
  <c r="A26" i="4" s="1"/>
  <c r="AC26" i="4"/>
  <c r="AC25" i="4"/>
  <c r="AB25" i="4"/>
  <c r="A25" i="4" s="1"/>
  <c r="AB24" i="4"/>
  <c r="A24" i="4" s="1"/>
  <c r="AC24" i="4"/>
  <c r="AB23" i="4"/>
  <c r="A23" i="4" s="1"/>
  <c r="AC23" i="4"/>
  <c r="AB22" i="4"/>
  <c r="A22" i="4" s="1"/>
  <c r="AC22" i="4"/>
  <c r="AB20" i="4"/>
  <c r="A20" i="4" s="1"/>
  <c r="AC20" i="4"/>
  <c r="AB30" i="4"/>
  <c r="A30" i="4" s="1"/>
  <c r="AC30" i="4"/>
  <c r="AB31" i="4"/>
  <c r="A31" i="4" s="1"/>
  <c r="AC31" i="4"/>
  <c r="V17" i="4"/>
  <c r="T17" i="4"/>
  <c r="V21" i="4"/>
  <c r="T21" i="4"/>
  <c r="V34" i="4"/>
  <c r="T34" i="4"/>
  <c r="V23" i="4"/>
  <c r="T23" i="4"/>
  <c r="V28" i="4"/>
  <c r="T28" i="4"/>
  <c r="V27" i="4"/>
  <c r="T27" i="4"/>
  <c r="J35" i="3"/>
  <c r="I35" i="3"/>
  <c r="J34" i="3"/>
  <c r="I34" i="3"/>
  <c r="B338" i="13"/>
  <c r="E28" i="1" s="1"/>
  <c r="B339" i="13"/>
  <c r="E29" i="1" s="1"/>
  <c r="V24" i="4" l="1"/>
  <c r="V33" i="4"/>
  <c r="T20" i="4"/>
  <c r="V22" i="4"/>
  <c r="O12" i="4"/>
  <c r="R12" i="4" s="1"/>
  <c r="Q12" i="4"/>
  <c r="V26" i="4"/>
  <c r="K14" i="4"/>
  <c r="N14" i="4" s="1"/>
  <c r="Q14" i="4" s="1"/>
  <c r="T25" i="4"/>
  <c r="V18" i="4"/>
  <c r="T31" i="4"/>
  <c r="Q10" i="4"/>
  <c r="T15" i="4"/>
  <c r="T30" i="4"/>
  <c r="O11" i="4"/>
  <c r="R11" i="4" s="1"/>
  <c r="Q11" i="4"/>
  <c r="K19" i="4"/>
  <c r="N19" i="4" s="1"/>
  <c r="Q19" i="4" s="1"/>
  <c r="S19" i="4" s="1"/>
  <c r="T29" i="4"/>
  <c r="O10" i="4"/>
  <c r="R10" i="4" s="1"/>
  <c r="O16" i="4"/>
  <c r="R16" i="4" s="1"/>
  <c r="K16" i="4"/>
  <c r="N16" i="4" s="1"/>
  <c r="Q16" i="4" s="1"/>
  <c r="K9" i="4"/>
  <c r="N9" i="4" s="1"/>
  <c r="Q9" i="4" s="1"/>
  <c r="T32" i="4"/>
  <c r="O14" i="4"/>
  <c r="R14" i="4" s="1"/>
  <c r="O9" i="4"/>
  <c r="R9" i="4" s="1"/>
  <c r="K13" i="4"/>
  <c r="N13" i="4" s="1"/>
  <c r="Q13" i="4" s="1"/>
  <c r="O13" i="4"/>
  <c r="R13" i="4" s="1"/>
  <c r="Q8" i="4"/>
  <c r="O8" i="4"/>
  <c r="R8" i="4" s="1"/>
  <c r="AA8" i="4"/>
  <c r="AC8" i="4" s="1"/>
  <c r="AA9" i="4"/>
  <c r="AA10" i="4"/>
  <c r="AA11" i="4"/>
  <c r="AA13" i="4"/>
  <c r="AA14" i="4"/>
  <c r="AA16" i="4"/>
  <c r="AA19" i="4"/>
  <c r="B351" i="13"/>
  <c r="K34" i="3"/>
  <c r="K35" i="3"/>
  <c r="G8" i="7"/>
  <c r="AA12" i="4"/>
  <c r="B29" i="1"/>
  <c r="B28" i="1"/>
  <c r="S14" i="4" l="1"/>
  <c r="V14" i="4" s="1"/>
  <c r="S13" i="4"/>
  <c r="T13" i="4" s="1"/>
  <c r="S16" i="4"/>
  <c r="V16" i="4" s="1"/>
  <c r="S9" i="4"/>
  <c r="T9" i="4" s="1"/>
  <c r="E15" i="16"/>
  <c r="E15" i="18"/>
  <c r="S10" i="4"/>
  <c r="T10" i="4" s="1"/>
  <c r="S12" i="4"/>
  <c r="V12" i="4" s="1"/>
  <c r="L35" i="3"/>
  <c r="O35" i="3"/>
  <c r="L34" i="3"/>
  <c r="O34" i="3"/>
  <c r="S11" i="4"/>
  <c r="T11" i="4" s="1"/>
  <c r="S8" i="4"/>
  <c r="T8" i="4" s="1"/>
  <c r="AB8" i="4"/>
  <c r="A8" i="4" s="1"/>
  <c r="AB19" i="4"/>
  <c r="A19" i="4" s="1"/>
  <c r="AC19" i="4"/>
  <c r="AB16" i="4"/>
  <c r="A16" i="4" s="1"/>
  <c r="AC16" i="4"/>
  <c r="AB14" i="4"/>
  <c r="A14" i="4" s="1"/>
  <c r="AC14" i="4"/>
  <c r="AB13" i="4"/>
  <c r="A13" i="4" s="1"/>
  <c r="AC13" i="4"/>
  <c r="AB11" i="4"/>
  <c r="A11" i="4" s="1"/>
  <c r="AC11" i="4"/>
  <c r="AB10" i="4"/>
  <c r="A10" i="4" s="1"/>
  <c r="AC10" i="4"/>
  <c r="AC9" i="4"/>
  <c r="AB9" i="4"/>
  <c r="A9" i="4" s="1"/>
  <c r="K8" i="7"/>
  <c r="F25" i="7"/>
  <c r="V19" i="4"/>
  <c r="T19" i="4"/>
  <c r="F24" i="7"/>
  <c r="AB12" i="4"/>
  <c r="A12" i="4" s="1"/>
  <c r="AC12" i="4"/>
  <c r="G29" i="3"/>
  <c r="H29" i="3"/>
  <c r="V9" i="4" l="1"/>
  <c r="T16" i="4"/>
  <c r="T14" i="4"/>
  <c r="V13" i="4"/>
  <c r="V10" i="4"/>
  <c r="V11" i="4"/>
  <c r="T12" i="4"/>
  <c r="D17" i="18"/>
  <c r="C17" i="18" s="1"/>
  <c r="D17" i="16"/>
  <c r="C17" i="16" s="1"/>
  <c r="V8" i="4"/>
  <c r="G7" i="4"/>
  <c r="H7" i="4" s="1"/>
  <c r="J7" i="4" l="1"/>
  <c r="Q5" i="4"/>
  <c r="O5" i="4"/>
  <c r="R5" i="4" s="1"/>
  <c r="Q103" i="4" l="1"/>
  <c r="C5" i="18" s="1"/>
  <c r="AA7" i="4"/>
  <c r="AB7" i="4" s="1"/>
  <c r="A7" i="4" s="1"/>
  <c r="O7" i="4"/>
  <c r="R7" i="4" s="1"/>
  <c r="Q106" i="4" s="1"/>
  <c r="K7" i="4"/>
  <c r="N7" i="4" s="1"/>
  <c r="Q7" i="4" s="1"/>
  <c r="Q105" i="4" s="1"/>
  <c r="S5" i="4"/>
  <c r="C5" i="16" l="1"/>
  <c r="E5" i="18"/>
  <c r="AC7" i="4"/>
  <c r="Q104" i="4"/>
  <c r="C6" i="18" s="1"/>
  <c r="S7" i="4"/>
  <c r="Q107" i="4" s="1"/>
  <c r="D13" i="18" s="1"/>
  <c r="C13" i="18" s="1"/>
  <c r="T5" i="4"/>
  <c r="V5" i="4"/>
  <c r="D13" i="16" l="1"/>
  <c r="C13" i="16" s="1"/>
  <c r="Q108" i="4"/>
  <c r="C6" i="16"/>
  <c r="T7" i="4"/>
  <c r="V7" i="4"/>
  <c r="B84" i="11" l="1"/>
  <c r="B337" i="13"/>
  <c r="E27" i="1" s="1"/>
  <c r="B85" i="11" l="1"/>
  <c r="D14" i="18"/>
  <c r="D14" i="16"/>
  <c r="B350" i="13"/>
  <c r="B27" i="1"/>
  <c r="I94" i="10"/>
  <c r="C14" i="16" l="1"/>
  <c r="D26" i="16"/>
  <c r="C26" i="16" s="1"/>
  <c r="C14" i="18"/>
  <c r="D26" i="18"/>
  <c r="C26" i="18" s="1"/>
  <c r="E14" i="16"/>
  <c r="E14" i="18"/>
  <c r="I30" i="3"/>
  <c r="J30" i="3"/>
  <c r="I107" i="10"/>
  <c r="I117" i="10"/>
  <c r="I115" i="10"/>
  <c r="I96" i="10"/>
  <c r="I104" i="10"/>
  <c r="I112" i="10"/>
  <c r="I101" i="10"/>
  <c r="I108" i="10"/>
  <c r="H127" i="10"/>
  <c r="I127" i="10" s="1"/>
  <c r="H128" i="10"/>
  <c r="I128" i="10" s="1"/>
  <c r="I124" i="10"/>
  <c r="I122" i="10"/>
  <c r="I105" i="10"/>
  <c r="I114" i="10"/>
  <c r="I106" i="10"/>
  <c r="I102" i="10"/>
  <c r="I110" i="10"/>
  <c r="H126" i="10"/>
  <c r="I126" i="10" s="1"/>
  <c r="H125" i="10"/>
  <c r="I125" i="10" s="1"/>
  <c r="I111" i="10"/>
  <c r="I121" i="10"/>
  <c r="I103" i="10"/>
  <c r="I123" i="10"/>
  <c r="I95" i="10"/>
  <c r="I97" i="10"/>
  <c r="I113" i="10"/>
  <c r="I100" i="10"/>
  <c r="I93" i="10"/>
  <c r="I41" i="3" l="1"/>
  <c r="J41" i="3"/>
  <c r="I37" i="3"/>
  <c r="J37" i="3"/>
  <c r="I46" i="3"/>
  <c r="J46" i="3"/>
  <c r="I38" i="3"/>
  <c r="J38" i="3"/>
  <c r="I45" i="3"/>
  <c r="J45" i="3"/>
  <c r="I51" i="3"/>
  <c r="J51" i="3"/>
  <c r="I40" i="3"/>
  <c r="J40" i="3"/>
  <c r="I39" i="3"/>
  <c r="J39" i="3"/>
  <c r="I31" i="3"/>
  <c r="J31" i="3"/>
  <c r="I29" i="3"/>
  <c r="J29" i="3"/>
  <c r="I43" i="3"/>
  <c r="J43" i="3"/>
  <c r="I47" i="3"/>
  <c r="J47" i="3"/>
  <c r="I32" i="3"/>
  <c r="J32" i="3"/>
  <c r="I36" i="3"/>
  <c r="J36" i="3"/>
  <c r="I53" i="3"/>
  <c r="J53" i="3"/>
  <c r="I52" i="3"/>
  <c r="J52" i="3"/>
  <c r="I54" i="3"/>
  <c r="J54" i="3"/>
  <c r="I56" i="3"/>
  <c r="J56" i="3"/>
  <c r="I44" i="3"/>
  <c r="J44" i="3"/>
  <c r="I33" i="3"/>
  <c r="J33" i="3"/>
  <c r="I42" i="3"/>
  <c r="J42" i="3"/>
  <c r="I55" i="3"/>
  <c r="J55" i="3"/>
  <c r="K30" i="3"/>
  <c r="L30" i="3" l="1"/>
  <c r="O30" i="3"/>
  <c r="K44" i="3"/>
  <c r="K53" i="3"/>
  <c r="K43" i="3"/>
  <c r="O43" i="3" s="1"/>
  <c r="K40" i="3"/>
  <c r="K46" i="3"/>
  <c r="K47" i="3"/>
  <c r="K38" i="3"/>
  <c r="K52" i="3"/>
  <c r="K39" i="3"/>
  <c r="K55" i="3"/>
  <c r="K56" i="3"/>
  <c r="K36" i="3"/>
  <c r="K29" i="3"/>
  <c r="K51" i="3"/>
  <c r="K37" i="3"/>
  <c r="K33" i="3"/>
  <c r="K42" i="3"/>
  <c r="K54" i="3"/>
  <c r="K32" i="3"/>
  <c r="K31" i="3"/>
  <c r="K45" i="3"/>
  <c r="K41" i="3"/>
  <c r="K111" i="3" l="1"/>
  <c r="J111" i="3"/>
  <c r="L38" i="3"/>
  <c r="O38" i="3"/>
  <c r="L51" i="3"/>
  <c r="O51" i="3"/>
  <c r="L45" i="3"/>
  <c r="O45" i="3"/>
  <c r="L31" i="3"/>
  <c r="O31" i="3"/>
  <c r="L32" i="3"/>
  <c r="O32" i="3"/>
  <c r="L53" i="3"/>
  <c r="O53" i="3"/>
  <c r="L47" i="3"/>
  <c r="O47" i="3"/>
  <c r="L46" i="3"/>
  <c r="O46" i="3"/>
  <c r="L54" i="3"/>
  <c r="O54" i="3"/>
  <c r="L55" i="3"/>
  <c r="O55" i="3"/>
  <c r="L42" i="3"/>
  <c r="O42" i="3"/>
  <c r="L39" i="3"/>
  <c r="O39" i="3"/>
  <c r="L44" i="3"/>
  <c r="O44" i="3"/>
  <c r="L37" i="3"/>
  <c r="O37" i="3"/>
  <c r="L41" i="3"/>
  <c r="O41" i="3"/>
  <c r="L36" i="3"/>
  <c r="O36" i="3"/>
  <c r="L40" i="3"/>
  <c r="O40" i="3"/>
  <c r="L56" i="3"/>
  <c r="O56" i="3"/>
  <c r="L33" i="3"/>
  <c r="O33" i="3"/>
  <c r="L52" i="3"/>
  <c r="O52" i="3"/>
  <c r="L43" i="3"/>
  <c r="L29" i="3"/>
  <c r="O29" i="3"/>
  <c r="D21" i="18" l="1"/>
  <c r="D25" i="18"/>
  <c r="C25" i="18" s="1"/>
  <c r="D23" i="18"/>
  <c r="C23" i="18" s="1"/>
  <c r="D22" i="18"/>
  <c r="C22" i="18" s="1"/>
  <c r="D21" i="16"/>
  <c r="C21" i="16" s="1"/>
  <c r="I111" i="3"/>
  <c r="D22" i="16"/>
  <c r="C22" i="16" s="1"/>
  <c r="D25" i="16"/>
  <c r="C25" i="16" s="1"/>
  <c r="D23" i="16"/>
  <c r="C23" i="16" s="1"/>
  <c r="C19" i="15"/>
  <c r="C21" i="18" l="1"/>
  <c r="C20" i="15"/>
  <c r="C21" i="15" s="1"/>
  <c r="C24" i="1"/>
  <c r="C29" i="1" s="1"/>
  <c r="D29" i="1" s="1"/>
  <c r="C25" i="1" l="1"/>
  <c r="B333" i="13"/>
  <c r="D26" i="1" l="1"/>
  <c r="G26" i="1"/>
  <c r="B348" i="13"/>
  <c r="D28" i="1" s="1"/>
  <c r="B335" i="13"/>
  <c r="G29" i="1" s="1"/>
  <c r="D25" i="1" l="1"/>
  <c r="G25" i="1"/>
  <c r="T5" i="2" a="1"/>
  <c r="T5" i="2" s="1"/>
  <c r="K18" i="3" l="1"/>
  <c r="K8" i="3"/>
  <c r="K9" i="3"/>
  <c r="K12" i="3"/>
  <c r="L12" i="3" l="1"/>
  <c r="O12" i="3"/>
  <c r="L9" i="3"/>
  <c r="O9" i="3"/>
  <c r="L18" i="3"/>
  <c r="O18" i="3"/>
  <c r="L8" i="3"/>
  <c r="O8" i="3"/>
  <c r="K7" i="3"/>
  <c r="J110" i="3" s="1"/>
  <c r="D10" i="18" s="1"/>
  <c r="C10" i="18" s="1"/>
  <c r="K17" i="3"/>
  <c r="K110" i="3" s="1"/>
  <c r="K115" i="3" l="1"/>
  <c r="K116" i="3" s="1"/>
  <c r="D11" i="18"/>
  <c r="C11" i="18" s="1"/>
  <c r="J113" i="3"/>
  <c r="J114" i="3" s="1"/>
  <c r="J115" i="3"/>
  <c r="J116" i="3" s="1"/>
  <c r="K113" i="3"/>
  <c r="K114" i="3" s="1"/>
  <c r="I110" i="3"/>
  <c r="L17" i="3"/>
  <c r="O17" i="3"/>
  <c r="L7" i="3"/>
  <c r="O7" i="3"/>
  <c r="D11" i="16"/>
  <c r="C11" i="16" s="1"/>
  <c r="D24" i="16" l="1"/>
  <c r="C24" i="16" s="1"/>
  <c r="D24" i="18"/>
  <c r="I114" i="3"/>
  <c r="I113" i="3"/>
  <c r="D10" i="16"/>
  <c r="C10" i="16" s="1"/>
  <c r="C24" i="18" l="1"/>
  <c r="C27" i="18" s="1"/>
  <c r="D27" i="18"/>
  <c r="D27" i="16"/>
  <c r="C27" i="16"/>
  <c r="I115" i="3" l="1"/>
  <c r="C340" i="13"/>
  <c r="B340" i="13" s="1"/>
  <c r="E20" i="18" s="1"/>
  <c r="I116" i="3" l="1"/>
  <c r="D12" i="18"/>
  <c r="C7" i="18"/>
  <c r="C7" i="16"/>
  <c r="D12" i="16"/>
  <c r="C12" i="16" s="1"/>
  <c r="E20" i="16"/>
  <c r="D18" i="18" l="1"/>
  <c r="C12" i="18"/>
  <c r="C18" i="18" s="1"/>
  <c r="D18" i="16"/>
  <c r="C18"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tc={6C0D9C17-7A80-4AFA-8EEA-FAAF33D6B67C}</author>
    <author>tc={F3337C4D-3CDA-4FFC-B87A-686DDA7C1D76}</author>
  </authors>
  <commentList>
    <comment ref="C11" authorId="0" shapeId="0" xr:uid="{6C0D9C17-7A80-4AFA-8EEA-FAAF33D6B67C}">
      <text>
        <t>[Threaded comment]
Your version of Excel allows you to read this threaded comment; however, any edits to it will get removed if the file is opened in a newer version of Excel. Learn more: https://go.microsoft.com/fwlink/?linkid=870924
Comment:
    Why is this 0?</t>
      </text>
    </comment>
    <comment ref="D11" authorId="1" shapeId="0" xr:uid="{F3337C4D-3CDA-4FFC-B87A-686DDA7C1D76}">
      <text>
        <t>[Threaded comment]
Your version of Excel allows you to read this threaded comment; however, any edits to it will get removed if the file is opened in a newer version of Excel. Learn more: https://go.microsoft.com/fwlink/?linkid=870924
Comment:
    Why is this 0?</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<sst xmlns="http://schemas.openxmlformats.org/spreadsheetml/2006/main" count="3393" uniqueCount="2313">
  <si>
    <t>English</t>
  </si>
  <si>
    <t>&lt;blank&gt;</t>
  </si>
  <si>
    <t>local currency (reference only)</t>
  </si>
  <si>
    <t>No</t>
  </si>
  <si>
    <t>Yes</t>
  </si>
  <si>
    <t>Workflow step</t>
  </si>
  <si>
    <t>Reagent/Consumable</t>
  </si>
  <si>
    <t>Item</t>
  </si>
  <si>
    <t>Quantity</t>
  </si>
  <si>
    <t>Price per unit</t>
  </si>
  <si>
    <t>Total cost</t>
  </si>
  <si>
    <t>Note for equipment</t>
  </si>
  <si>
    <t>Column2</t>
  </si>
  <si>
    <t>Column3</t>
  </si>
  <si>
    <t>Column1</t>
  </si>
  <si>
    <t>Recommended Quantity</t>
  </si>
  <si>
    <r>
      <t xml:space="preserve">Actual Quantity </t>
    </r>
    <r>
      <rPr>
        <b/>
        <i/>
        <sz val="10"/>
        <color theme="0"/>
        <rFont val="Calibri"/>
        <family val="2"/>
        <scheme val="minor"/>
      </rPr>
      <t>(enter 0 if none)</t>
    </r>
  </si>
  <si>
    <t>Unit cost</t>
  </si>
  <si>
    <t>Recommended lifetime (years)</t>
  </si>
  <si>
    <t>Age of equipment (new=0)</t>
  </si>
  <si>
    <t>Amortization value</t>
  </si>
  <si>
    <t>Maintenance contract cost per year</t>
  </si>
  <si>
    <t>Percentage of use for sequencing</t>
  </si>
  <si>
    <t>Annual equipment armotization and maintenance cost</t>
  </si>
  <si>
    <t>Total Cost</t>
  </si>
  <si>
    <t>NGS Workforce</t>
  </si>
  <si>
    <t>Annual salary</t>
  </si>
  <si>
    <t>Percentage of time spent on sequencing</t>
  </si>
  <si>
    <t>Annual personnel cost</t>
  </si>
  <si>
    <t>Personnel cost per sample</t>
  </si>
  <si>
    <t>Facility services</t>
  </si>
  <si>
    <t>Cost per month</t>
  </si>
  <si>
    <t>Transportation services</t>
  </si>
  <si>
    <t>Shipment method</t>
  </si>
  <si>
    <t>Annual cost</t>
  </si>
  <si>
    <t>Transportation cost per sample per service</t>
  </si>
  <si>
    <t>Quality management activity</t>
  </si>
  <si>
    <t>Cost</t>
  </si>
  <si>
    <t xml:space="preserve">Quantity </t>
  </si>
  <si>
    <t>Annual activity cost</t>
  </si>
  <si>
    <t>Annual activity cost per sample</t>
  </si>
  <si>
    <t>Comments</t>
  </si>
  <si>
    <t>Seq1</t>
  </si>
  <si>
    <t>Seq2</t>
  </si>
  <si>
    <t xml:space="preserve">Category 1 (mix of DNA and RNA VIRUS library prep kits) </t>
  </si>
  <si>
    <t>Category 2 (bacteria)</t>
  </si>
  <si>
    <t>Category 3 (multi-pathogen kits)</t>
  </si>
  <si>
    <t>Pathogen check - Seq1</t>
  </si>
  <si>
    <t>Pathogen-dependent sublists of lib prep kits</t>
  </si>
  <si>
    <t>Flag</t>
  </si>
  <si>
    <t>Platform Check</t>
  </si>
  <si>
    <t>Sublists filtered by the supplier (with blanks)</t>
  </si>
  <si>
    <t>Sublists filtered by supplier (no blanks)</t>
  </si>
  <si>
    <t>Languages</t>
  </si>
  <si>
    <t>Pathogen type</t>
  </si>
  <si>
    <t>Sequencing method</t>
  </si>
  <si>
    <t>Workflow</t>
  </si>
  <si>
    <t>Y/N</t>
  </si>
  <si>
    <t>Bioinformatics</t>
  </si>
  <si>
    <t>RNA or DNA virus (all but influenza and SARS-CoV-2)</t>
  </si>
  <si>
    <t>Illumina</t>
  </si>
  <si>
    <t>Other library preparation kit</t>
  </si>
  <si>
    <t>ONT</t>
  </si>
  <si>
    <t>Viral</t>
  </si>
  <si>
    <t>Whole genome</t>
  </si>
  <si>
    <t>Sample receipt</t>
  </si>
  <si>
    <t>Cloud-based analysis software</t>
  </si>
  <si>
    <t>Thermofisher</t>
  </si>
  <si>
    <t>Bacterial</t>
  </si>
  <si>
    <t>Targeted genome</t>
  </si>
  <si>
    <t>Nucleic acid extraction</t>
  </si>
  <si>
    <t>In-house computing</t>
  </si>
  <si>
    <t>MGI</t>
  </si>
  <si>
    <t>Capture-all (multiple pathogens)</t>
  </si>
  <si>
    <t>PCR testing</t>
  </si>
  <si>
    <t>Not applicable</t>
  </si>
  <si>
    <t>Hybrid, in-house and cloud-based</t>
  </si>
  <si>
    <t>Pathogen check-Seq2</t>
  </si>
  <si>
    <t>NGS library preparation</t>
  </si>
  <si>
    <t>16S Barcoding Kit 24</t>
  </si>
  <si>
    <t>Sequencing</t>
  </si>
  <si>
    <t xml:space="preserve">EQUATION for #packs (including dead volume) =  (1+%deadVolume)X(#samples+#controls) / (pack size) </t>
  </si>
  <si>
    <t>Sequencer 1</t>
  </si>
  <si>
    <t>sequencer 2</t>
  </si>
  <si>
    <t>Number of controls per year --&gt;</t>
  </si>
  <si>
    <t>using all available indices</t>
  </si>
  <si>
    <t>per index set</t>
  </si>
  <si>
    <r>
      <rPr>
        <sz val="11"/>
        <color rgb="FFED7D31"/>
        <rFont val="Calibri"/>
        <family val="2"/>
        <scheme val="minor"/>
      </rPr>
      <t xml:space="preserve">A question on capture option from Toni: "My concern is a bacterial sample would require a higher read count. Do we just double the read count for kits that cover DNA/RNA?" </t>
    </r>
    <r>
      <rPr>
        <b/>
        <sz val="11"/>
        <color rgb="FFFF0000"/>
        <rFont val="Calibri"/>
        <family val="2"/>
        <scheme val="minor"/>
      </rPr>
      <t>Answer: this can be discussed in the next meeting</t>
    </r>
  </si>
  <si>
    <t>Developer Notes</t>
  </si>
  <si>
    <t>Library preparation kit</t>
  </si>
  <si>
    <t>Kit + additional reagents to complete the kit</t>
  </si>
  <si>
    <t>Platform Compatability</t>
  </si>
  <si>
    <t>Pack size</t>
  </si>
  <si>
    <t>#Packs (for all samples) -Seq1</t>
  </si>
  <si>
    <t>#Packs (for all samples) - Seq2</t>
  </si>
  <si>
    <t>Barcoding limit per run</t>
  </si>
  <si>
    <t>Unit Price</t>
  </si>
  <si>
    <t>Enrichment included in kit (yes/no)</t>
  </si>
  <si>
    <t xml:space="preserve">catalog number </t>
  </si>
  <si>
    <t>allows you to do 96 individual samples or pool up to 96 samples on the same flowcell</t>
  </si>
  <si>
    <t>price is set for use of one index box set (ex. Index Set 1); set 3&amp;4 omitted since are RUO</t>
  </si>
  <si>
    <t>SARS-CoV-2</t>
  </si>
  <si>
    <t>Illumina: COVIDSeq Assay (96 Samples)</t>
  </si>
  <si>
    <t>Illumina COVIDSeq Assay (96 samples) index 1/index 2</t>
  </si>
  <si>
    <r>
      <t>iSeq 100(8), MiniSeq(48), MiSeq(48), NextSeq</t>
    </r>
    <r>
      <rPr>
        <sz val="11"/>
        <color rgb="FFFF0000"/>
        <rFont val="Calibri"/>
        <family val="2"/>
        <scheme val="minor"/>
      </rPr>
      <t xml:space="preserve"> 1000/2000 (96)</t>
    </r>
  </si>
  <si>
    <t>20049393; 20051772</t>
  </si>
  <si>
    <t>is this the PhiX Control v3 or something else? Normally the lab would run a EQA at very high Ct rather than but the control</t>
  </si>
  <si>
    <t>Calculation for number of packs for all samples is affected by the number of runs vs. number of samples</t>
  </si>
  <si>
    <t>COVIDSeq Positive Control</t>
  </si>
  <si>
    <t>Target-specific primers included</t>
  </si>
  <si>
    <t>Beads included in this kit</t>
  </si>
  <si>
    <t>SARS-CoV-2, RSV, Influenza A, Influenza B</t>
  </si>
  <si>
    <t>Illumina DNA Prep, (M) Tagmentation (96 Samples, IPB)</t>
  </si>
  <si>
    <r>
      <t>All Illumina</t>
    </r>
    <r>
      <rPr>
        <sz val="11"/>
        <color rgb="FFFF0000"/>
        <rFont val="Calibri"/>
        <family val="2"/>
        <scheme val="minor"/>
      </rPr>
      <t xml:space="preserve"> (up to 384)</t>
    </r>
  </si>
  <si>
    <t>price is set for use of one index box set (ex. Index Set A)</t>
  </si>
  <si>
    <t>Illumina DNA/RNA Unique Dual Indexes Sets A, B, C, D, Tagmentation (96 Indexes, 96 Samples/set)</t>
  </si>
  <si>
    <t>20091654, 20091656, 20091658, 20091660</t>
  </si>
  <si>
    <t>we assume it as LunaScript® RT SuperMix (M3010L) - 100 reactions/pack, 460$ per pack (Beatrix)</t>
  </si>
  <si>
    <t>RT-PCR reagents</t>
  </si>
  <si>
    <t>M3010L</t>
  </si>
  <si>
    <t>We assume Target specific primers - 1000 samples/pack; 65$ per pack  (Beatrix)</t>
  </si>
  <si>
    <t>Target specific primers</t>
  </si>
  <si>
    <t>SAR-CoV-2</t>
  </si>
  <si>
    <t>Illumina: COVIDSeq Test (RUO Version) (3072 Samples)</t>
  </si>
  <si>
    <t>Illumina COVIDSeq Test (RUO version) (3072 Samples)</t>
  </si>
  <si>
    <r>
      <rPr>
        <sz val="11"/>
        <color rgb="FFFF0000"/>
        <rFont val="Calibri"/>
        <family val="2"/>
        <scheme val="minor"/>
      </rPr>
      <t>All Illumina</t>
    </r>
    <r>
      <rPr>
        <sz val="11"/>
        <rFont val="Calibri"/>
        <family val="2"/>
        <scheme val="minor"/>
      </rPr>
      <t xml:space="preserve"> </t>
    </r>
    <r>
      <rPr>
        <sz val="11"/>
        <color rgb="FFFF0000"/>
        <rFont val="Calibri"/>
        <family val="2"/>
        <scheme val="minor"/>
      </rPr>
      <t>(up to 384)</t>
    </r>
  </si>
  <si>
    <t>IDT for Illumina PCR Unique Dual Indexes Sets 1-4, 384 samples</t>
  </si>
  <si>
    <t>The kit is based on the COVIDseq workflow. Contains:  Universal Flu A/B primer pool, RT enzymes and PCR amp reagents + library prep reagents.</t>
  </si>
  <si>
    <t>kit includes primers, RT-PCR reagents, library prep reagents and indexes sufficient for 48 samples</t>
  </si>
  <si>
    <t>Influenza A and Influenza B</t>
  </si>
  <si>
    <t>Illumina Microbial Amplicon Prep—Influenza A/B</t>
  </si>
  <si>
    <t>Illumina Microbial Amplicon Prep—Influenza A/B (48 samples)</t>
  </si>
  <si>
    <r>
      <t>All Illumina</t>
    </r>
    <r>
      <rPr>
        <sz val="11"/>
        <color rgb="FFFF0000"/>
        <rFont val="Calibri"/>
        <family val="2"/>
        <scheme val="minor"/>
      </rPr>
      <t xml:space="preserve"> (up to 48 samples)</t>
    </r>
  </si>
  <si>
    <t>the kit includes reagents necessary for cDNA conversion, amplification, and library preparation</t>
  </si>
  <si>
    <r>
      <t xml:space="preserve">48-sample amplicon kit containing cDNA conversion, library prep, and indexes. </t>
    </r>
    <r>
      <rPr>
        <b/>
        <sz val="11"/>
        <color theme="1"/>
        <rFont val="Calibri"/>
        <family val="2"/>
        <scheme val="minor"/>
      </rPr>
      <t>Primers are not included</t>
    </r>
  </si>
  <si>
    <t>Illumina Microbial Amplicon Prep</t>
  </si>
  <si>
    <t>Illumina Microbial Amplicon Prep (48 samples)</t>
  </si>
  <si>
    <r>
      <t xml:space="preserve">All Illumina </t>
    </r>
    <r>
      <rPr>
        <sz val="11"/>
        <color rgb="FFFF0000"/>
        <rFont val="Calibri"/>
        <family val="2"/>
        <scheme val="minor"/>
      </rPr>
      <t>(up to 48 samples)</t>
    </r>
  </si>
  <si>
    <t>Kits contain the Respiratory Virus Oligo Panel (RVOP) v2, Illumina RNA Prep with Enrichment, and one of four available unique dual indexing plates. - minimum 2M read / sample required</t>
  </si>
  <si>
    <t>omplete hybridization-based enrichment kit including Illumina RNA Prep with Enrichment library preparation and hybridization reagents, Respiratory Virus Oligo Panel v2, and IDT® for Illumina® DNA/RNA UD Indexes Set A. Each kit provides enough reagents for 96 samples in 32 hybridization reactions with 3 libraries per hybridization reaction</t>
  </si>
  <si>
    <t>40 common respiratory viruses</t>
  </si>
  <si>
    <t>Illumina Respiratory Virus Enrichment Kit</t>
  </si>
  <si>
    <t>Illumina Respiratory Virus Enrichment Kit Sets A/B/C/D, 96 samples/set</t>
  </si>
  <si>
    <r>
      <t xml:space="preserve">MiniSeq, MiSeq System, </t>
    </r>
    <r>
      <rPr>
        <sz val="11"/>
        <color rgb="FFFF0000"/>
        <rFont val="Calibri"/>
        <family val="2"/>
        <scheme val="minor"/>
      </rPr>
      <t xml:space="preserve">NextSeq 550, </t>
    </r>
    <r>
      <rPr>
        <sz val="11"/>
        <color theme="1"/>
        <rFont val="Calibri"/>
        <family val="2"/>
        <scheme val="minor"/>
      </rPr>
      <t xml:space="preserve">NextSeq 2000 </t>
    </r>
    <r>
      <rPr>
        <sz val="11"/>
        <color rgb="FFFF0000"/>
        <rFont val="Calibri"/>
        <family val="2"/>
        <scheme val="minor"/>
      </rPr>
      <t>(up to 384 samples)</t>
    </r>
  </si>
  <si>
    <t>20100469, 20100470, 20100471, 20100472</t>
  </si>
  <si>
    <t>this is very similar to DNA prep and may be discontinued in teh future (the costing should be the same)</t>
  </si>
  <si>
    <t>Nextera XT DNA Library Preparation Kit for Illumina</t>
  </si>
  <si>
    <t>Nextera XT DNA Library Preparation Kit (96 samples)</t>
  </si>
  <si>
    <r>
      <t>All Illumina except NovaSeq</t>
    </r>
    <r>
      <rPr>
        <sz val="11"/>
        <color rgb="FFFF0000"/>
        <rFont val="Calibri"/>
        <family val="2"/>
        <scheme val="minor"/>
      </rPr>
      <t xml:space="preserve"> (up to 384 samples)</t>
    </r>
  </si>
  <si>
    <t xml:space="preserve">FC-131-1096
</t>
  </si>
  <si>
    <t>100 ul per sample , as per NEB website</t>
  </si>
  <si>
    <t>Illumina DNA/RNA Unique Dual Indexes Sets A-D, 96 Samples/set</t>
  </si>
  <si>
    <t>2M paired-end reads / sample required. (manually change the max # samples in the formula)</t>
  </si>
  <si>
    <t>primers included; assumes purchase of only 1 panel set</t>
  </si>
  <si>
    <t>&gt;280 respiratory pathogens included and &gt;2000 AMR markers</t>
  </si>
  <si>
    <t>Illumina: Respiratory Pathogen ID/AMR Enrichment Panel Kit</t>
  </si>
  <si>
    <t>Respiratory Pathogen ID/AMR Enrichment Kit Set A (RUO) - up to 4 panels of 96 samples/set each (A/B/C/D)</t>
  </si>
  <si>
    <r>
      <t xml:space="preserve">MiniSeq, MiSeq, </t>
    </r>
    <r>
      <rPr>
        <sz val="11"/>
        <color rgb="FFFF0000"/>
        <rFont val="Calibri"/>
        <family val="2"/>
        <scheme val="minor"/>
      </rPr>
      <t>NextSeq 550 (up to 384 samples)</t>
    </r>
  </si>
  <si>
    <t>20047050, 20046969, 20047051, 20047052</t>
  </si>
  <si>
    <t>AMPure XP beads 60ml</t>
  </si>
  <si>
    <t>A63881</t>
  </si>
  <si>
    <t>The complete kits include everything needed for library prep and enrichment, including purification beads and index adapters. Minimum of 2M paired-end reads per sample with a read length of 150 bp. For more complex samples (eg: wastewater) a minimum of 8M paired-end reads per sample</t>
  </si>
  <si>
    <t>includes purification beads and index adapters</t>
  </si>
  <si>
    <t>&gt;200 DNA/RNA VIRUS</t>
  </si>
  <si>
    <t>Illumina Viral Surveillance Panel v2 Kit</t>
  </si>
  <si>
    <t>Illumina Viral Surveillance Panel v2 Kit, Sets A/B/C/D, 96 samples/set</t>
  </si>
  <si>
    <r>
      <t xml:space="preserve">All Illumina except NovaSeq </t>
    </r>
    <r>
      <rPr>
        <sz val="11"/>
        <color rgb="FFFF0000"/>
        <rFont val="Calibri"/>
        <family val="2"/>
        <scheme val="minor"/>
      </rPr>
      <t>(up to 384 samples)</t>
    </r>
  </si>
  <si>
    <t>20108081, 20108082, 20108083, 20108084</t>
  </si>
  <si>
    <t>NEBNext Ultra II DNA Library Prep Kit for Illumina with sample purification beads (NEB #E7103) or NEBNext Ultra II DNA Library Prep Kit for Illumina then purchase AMPure® XP Bead</t>
  </si>
  <si>
    <t>if RNA - requires user to select reverse transcription included in R/C worksheet</t>
  </si>
  <si>
    <t>NEBNext Ultra II DNA Library Prep with Sample Purification Beads for Illumina</t>
  </si>
  <si>
    <t>NEBNext Ultra II DNA Library Prep with Sample Purification Beads for Illumina (96 samples)</t>
  </si>
  <si>
    <r>
      <t>All Illumina</t>
    </r>
    <r>
      <rPr>
        <sz val="11"/>
        <color rgb="FFFF0000"/>
        <rFont val="Calibri"/>
        <family val="2"/>
        <scheme val="minor"/>
      </rPr>
      <t xml:space="preserve"> (up to 96 samples)</t>
    </r>
  </si>
  <si>
    <t>E7103L</t>
  </si>
  <si>
    <t>NEBNext Multiplex Oligos for Illumina (96 Unique Dual Index Primer Pairs)</t>
  </si>
  <si>
    <t>E6440S</t>
  </si>
  <si>
    <t>Bundled kit - 20099512</t>
  </si>
  <si>
    <t>TB</t>
  </si>
  <si>
    <t>Illumina and Genoscreen Deeplex Myc-TB Combo IDP Kit (48 samples)</t>
  </si>
  <si>
    <t>Illumina and Genoscreen Deeplex Myc-TB Combo Kit with IDP Library Prep, 48 sample</t>
  </si>
  <si>
    <r>
      <t xml:space="preserve">iSeq 100 System </t>
    </r>
    <r>
      <rPr>
        <sz val="11"/>
        <color rgb="FFFF0000"/>
        <rFont val="Calibri"/>
        <family val="2"/>
        <scheme val="minor"/>
      </rPr>
      <t>(13 samples)</t>
    </r>
    <r>
      <rPr>
        <sz val="11"/>
        <color rgb="FF000000"/>
        <rFont val="Calibri"/>
        <family val="2"/>
        <scheme val="minor"/>
      </rPr>
      <t xml:space="preserve">, MiniSeq System </t>
    </r>
    <r>
      <rPr>
        <sz val="11"/>
        <color rgb="FFFF0000"/>
        <rFont val="Calibri"/>
        <family val="2"/>
        <scheme val="minor"/>
      </rPr>
      <t>(21 samples)</t>
    </r>
    <r>
      <rPr>
        <sz val="11"/>
        <color rgb="FF000000"/>
        <rFont val="Calibri"/>
        <family val="2"/>
        <scheme val="minor"/>
      </rPr>
      <t>, MiSeq System</t>
    </r>
    <r>
      <rPr>
        <sz val="11"/>
        <color rgb="FFFF0000"/>
        <rFont val="Calibri"/>
        <family val="2"/>
        <scheme val="minor"/>
      </rPr>
      <t xml:space="preserve"> (45 samples), NextSeq 550 (372 samples)</t>
    </r>
  </si>
  <si>
    <t>GNSDMTB01</t>
  </si>
  <si>
    <t>Check whether bundled options include the pack sizes as stated here? Price for bundled?</t>
  </si>
  <si>
    <t>Bundled kit - 20090205</t>
  </si>
  <si>
    <t>Illumina and Genoscreen Deeplex Myc-TB Combo XT Kit (48 samples)</t>
  </si>
  <si>
    <t>Illumina and Genoscreen Deeplex Myc-TB Combo Kit with Nextera XT library prep, 48 sample</t>
  </si>
  <si>
    <t>FC-131-1096</t>
  </si>
  <si>
    <t>Nextera XT index kit v2 Sets A, B, C, D (96 indices,384 samples/set)</t>
  </si>
  <si>
    <t>FC-131-2001, FC-131-2002, FC-131-2003, FC-131-2004</t>
  </si>
  <si>
    <t>ONT COVID Mini V14: 576 samples</t>
  </si>
  <si>
    <t>6 x MinION/GridION Flow Cells (R10.4.1)</t>
  </si>
  <si>
    <t>MinION Mk1B
MinION Mk1C
GridION Mk1</t>
  </si>
  <si>
    <t>C19MINI114</t>
  </si>
  <si>
    <t>2 x Rapid Barcoding Kit 96 V14</t>
  </si>
  <si>
    <t>1 x Midnight RT PCR Expansion</t>
  </si>
  <si>
    <t>A protocol for full-length polyadenylated RNA</t>
  </si>
  <si>
    <t>ONT Direct RNA Sequencing Kit</t>
  </si>
  <si>
    <t>Direct RNA Sequencing Kit, 6 rxns</t>
  </si>
  <si>
    <t>MinION Mk1B
MinION Mk1C
MinION Mk1D
GridION
PromethION</t>
  </si>
  <si>
    <t>SQK-RNA004</t>
  </si>
  <si>
    <t>NEBNext Blunt/TA Ligase Master Mix, 250 rxns</t>
  </si>
  <si>
    <t>M0367L</t>
  </si>
  <si>
    <t>T4 DNA Ligase 2M U/mL</t>
  </si>
  <si>
    <t>NEB M0202T/M</t>
  </si>
  <si>
    <t>Agencourt RNAClean XP beads</t>
  </si>
  <si>
    <t>A63987</t>
  </si>
  <si>
    <t>NEBNext Quick Ligation Reaction Buffer, 2mL 5x</t>
  </si>
  <si>
    <t>NEB B6058</t>
  </si>
  <si>
    <t>Custom-ordered Reverse Transcription Adapter</t>
  </si>
  <si>
    <t>Deoxynucleotide (dNTP) Solution Mix (10 mM, 8 µmol)</t>
  </si>
  <si>
    <t>N0447S</t>
  </si>
  <si>
    <t>RNase Inhibitor, Murine (15,000 units)</t>
  </si>
  <si>
    <t>M0314L</t>
  </si>
  <si>
    <t>Induro® Reverse Transcriptase (NEB, M0681)</t>
  </si>
  <si>
    <t>M0681L</t>
  </si>
  <si>
    <t>ONT Ligation Sequencing Kit V14 protocol with Native Barcoding Kit 24 V14</t>
  </si>
  <si>
    <t>Ligation Sequencing Kit V14, 6 rxns</t>
  </si>
  <si>
    <t>All ONT</t>
  </si>
  <si>
    <t>SQK-LSK114</t>
  </si>
  <si>
    <t>Native Barcoding Kit 24 V14 - 6 rxns</t>
  </si>
  <si>
    <t>SQK-NBD114.24</t>
  </si>
  <si>
    <t>alternatively - can use Compnanion kit v2 as bundle instead of individual NEBNext reagents</t>
  </si>
  <si>
    <t>NEBNext Ultra II End Repair/dA-tailing module, 96 rxn</t>
  </si>
  <si>
    <t>E7546L</t>
  </si>
  <si>
    <t>NEBNext Quick Ligation Module, 100 rxns</t>
  </si>
  <si>
    <t>E6056L</t>
  </si>
  <si>
    <t>ONT Ligation Sequencing Kit V14 protocol with Native Barcoding Kit 96 V14</t>
  </si>
  <si>
    <t>Native Barcoding Kit 96 V14, 3 rxns</t>
  </si>
  <si>
    <t>SQK-NBD114.96</t>
  </si>
  <si>
    <t>NEBNext Ultra II End Repair/dA-tailing module, 96 rxns</t>
  </si>
  <si>
    <t>ONT Ligation Sequencing Kit XL V14 protocol with Native Barcoding Kit 96 V14</t>
  </si>
  <si>
    <t>Ligation Sequencing Kit XL V14 - 48 reactions</t>
  </si>
  <si>
    <t>SQK-LSK114-XL</t>
  </si>
  <si>
    <t>Native Barcoding Kit 96 V14 -3 reactions</t>
  </si>
  <si>
    <t>Capture all (bacteria)</t>
  </si>
  <si>
    <t>16S Barcoding Kit 24 V14</t>
  </si>
  <si>
    <t>Flongle
MinION Mk1B
MinION Mk1C
MinION Mk1D
GridION</t>
  </si>
  <si>
    <t>SQK-16S114.24</t>
  </si>
  <si>
    <t xml:space="preserve">Not ligation- this kit is transposase based (simialr to tagementaion) </t>
  </si>
  <si>
    <t>ONT Rapid Barcoding Kit 24 V14</t>
  </si>
  <si>
    <t>Rapid Barcoding Kit 24 V14, 6 rxns</t>
  </si>
  <si>
    <t>SQK-RBK114.24</t>
  </si>
  <si>
    <t>ONT Rapid Barcoding Kit 96 V14</t>
  </si>
  <si>
    <t>Rapid Barcoding Kit 96 V14, 3 rxns</t>
  </si>
  <si>
    <t>SQK-RBK114.96</t>
  </si>
  <si>
    <t>ONT Rapid PCR Barcoding Kit 24 V14 protocol</t>
  </si>
  <si>
    <t>Rapid PCR Barcoding Kit 24 V14, 6 rxns</t>
  </si>
  <si>
    <t>SQK-RPB114.24</t>
  </si>
  <si>
    <t>LongAmp Taq 2X Master Mix, 100rxns</t>
  </si>
  <si>
    <t>NEB, M0287S</t>
  </si>
  <si>
    <t>TBSeq Mycobacterium nucleic acid and M. tuberculosis drug resistance gene detection kits for ONT</t>
  </si>
  <si>
    <t>TBSeq Mycobacterium nucleic acid and M. tuberculosis drug resistance gene detection kits</t>
  </si>
  <si>
    <t>MinION
GridION</t>
  </si>
  <si>
    <t>Ampure XP beads</t>
  </si>
  <si>
    <r>
      <rPr>
        <sz val="11"/>
        <color rgb="FFED7D31"/>
        <rFont val="Calibri"/>
        <family val="2"/>
      </rPr>
      <t xml:space="preserve">Is it available on the market? Last time it was suggested to exclude. Do we keep? If yes, please check, looks like rapid barcoding is already included - https://nanoporetech.com/ond/documentation/ampore-tb </t>
    </r>
    <r>
      <rPr>
        <b/>
        <sz val="11"/>
        <color rgb="FFFF0000"/>
        <rFont val="Calibri"/>
        <family val="2"/>
      </rPr>
      <t xml:space="preserve">Answer:  We ahve edited this, inclduign cat code and platform but seems like the price needs to be requested. The TB data analysis software comes from biomeriuex </t>
    </r>
  </si>
  <si>
    <t>ONT AmPORE TB</t>
  </si>
  <si>
    <t>GridION</t>
  </si>
  <si>
    <t>AmPORE-TB Kit</t>
  </si>
  <si>
    <t>OND-S-ATB01-RGL</t>
  </si>
  <si>
    <t xml:space="preserve">Follow up on ThermoFisher (Babak wanted to ask his colleagues) (1) number of reads for each of the six combo of sequencing reagents although I think we can set it for user to enter as for ONT; and most importantly to confirm 2) that the each of the six combos can be used for 8 runs (and if not, maybe to correct the content if needed).
</t>
  </si>
  <si>
    <t>One bundle rfor DNA genomic librayry (e.g. bacteria) pathogen(s)</t>
  </si>
  <si>
    <t>Bacteria</t>
  </si>
  <si>
    <t>Thermofisher Ion Xpress Plus Fragment Library Kit</t>
  </si>
  <si>
    <t>Ion Xpress Plus Fragment Library Kit, 10 rxns</t>
  </si>
  <si>
    <t xml:space="preserve">Ion S5 series + Ion Chef </t>
  </si>
  <si>
    <t>Ion Xpress Barcode Adapters 1-16 Kit</t>
  </si>
  <si>
    <t>MagMAX™ Pure Bind Beads</t>
  </si>
  <si>
    <t>A58521</t>
  </si>
  <si>
    <t>One bubndle rfor RNA pathogens but the ampliseq primer set is developed bespoke to pathogen(s)</t>
  </si>
  <si>
    <t>RNA viruses</t>
  </si>
  <si>
    <t>Thermofisher Ion AmpliSeq Library Plus Kit with 24 rxns</t>
  </si>
  <si>
    <t>Ion AmpliSeq Library Plus Kit, 24rxns</t>
  </si>
  <si>
    <t>Xpress Barcode Adapters 1-96</t>
  </si>
  <si>
    <t>A29751; A36546</t>
  </si>
  <si>
    <t>Usually its about 1 or 1.5x the sample volume during the library prep steps (~0.5mL per sample would be reasonable estimate. I would work off 0.1mL of beads per step and normally you would 2 or 3 steps per sample. I would keep the calculation the same for induvial samples and the multiplexed runs because you may need to do some puriification before multiplexing. I have estimated for 5 mL = (0.1mL * 3) per sample = 5/.3  ~ 16 samples. I went for a conservative 10 samples so 0.5 mL/sample.</t>
  </si>
  <si>
    <t>Ampliseq primers</t>
  </si>
  <si>
    <t>SuperScript IV VILO (SSIV VILO) Master Mix</t>
  </si>
  <si>
    <t>Set- 940-000549-00. Bundled items in italics</t>
  </si>
  <si>
    <t>INF</t>
  </si>
  <si>
    <t>MGIEasy Respiratory Microorganisms Genome Library Preparation Set (16 RXN)</t>
  </si>
  <si>
    <r>
      <rPr>
        <sz val="11"/>
        <color rgb="FFFF0000"/>
        <rFont val="Calibri"/>
        <family val="2"/>
        <scheme val="minor"/>
      </rPr>
      <t xml:space="preserve">DNBSEQ-E25, DNBSEQ-G99, </t>
    </r>
    <r>
      <rPr>
        <sz val="11"/>
        <color theme="1"/>
        <rFont val="Calibri"/>
        <family val="2"/>
        <scheme val="minor"/>
      </rPr>
      <t>DNBSEQ-G50, DNBSEQ-G400</t>
    </r>
  </si>
  <si>
    <t>940-000549-00</t>
  </si>
  <si>
    <t>940-001194-00. also available in: 16 RXN set (940-001193-00), 192 RXN set (940-001196-00) and customized 960 RXN kit (940-002058-00)</t>
  </si>
  <si>
    <t>ALL</t>
  </si>
  <si>
    <t>MGIEasy Fast FS DNA Library Prep
Set V2.0 (96 RXN)</t>
  </si>
  <si>
    <r>
      <rPr>
        <sz val="11"/>
        <color rgb="FFFF0000"/>
        <rFont val="Calibri"/>
        <family val="2"/>
        <scheme val="minor"/>
      </rPr>
      <t>DNBSEQ-E25, DNBSEQ-G99</t>
    </r>
    <r>
      <rPr>
        <sz val="11"/>
        <color theme="1"/>
        <rFont val="Calibri"/>
        <family val="2"/>
        <scheme val="minor"/>
      </rPr>
      <t xml:space="preserve">, DNBSEQ-G50, DNBSEQ-G400, </t>
    </r>
    <r>
      <rPr>
        <sz val="11"/>
        <color rgb="FFFF0000"/>
        <rFont val="Calibri"/>
        <family val="2"/>
        <scheme val="minor"/>
      </rPr>
      <t>DNBSEQ-T7</t>
    </r>
  </si>
  <si>
    <t>940-001194-00</t>
  </si>
  <si>
    <t>bundled items in italics; MGIEasy Dual Barcode Circularization Kit, 1000020570</t>
  </si>
  <si>
    <t>Target-specific primers</t>
  </si>
  <si>
    <t>Set - 940-000183-00. bundled items in italics</t>
  </si>
  <si>
    <t>MGI ATOPlex RNA Library Prep Set (96 RXN)</t>
  </si>
  <si>
    <r>
      <rPr>
        <sz val="11"/>
        <color rgb="FFFF0000"/>
        <rFont val="Calibri"/>
        <family val="2"/>
        <scheme val="minor"/>
      </rPr>
      <t xml:space="preserve">DNBSEQ-E25, DNBSEQ-G99, </t>
    </r>
    <r>
      <rPr>
        <sz val="11"/>
        <color theme="1"/>
        <rFont val="Calibri"/>
        <family val="2"/>
        <scheme val="minor"/>
      </rPr>
      <t>DNBSEQ-G400, DNBSEQ-T7RS</t>
    </r>
  </si>
  <si>
    <t>940-000183-00</t>
  </si>
  <si>
    <t>also a 16 rxn kit</t>
  </si>
  <si>
    <t>MGI ATOPlex RNA Multiplex PCR-based Library Preparation Set V3.1 (96 RXN)</t>
  </si>
  <si>
    <t>940-000133-00</t>
  </si>
  <si>
    <t>Set - 940-000133-00. Bundled items in italics</t>
  </si>
  <si>
    <t>DNBSEQ-G99: 24 samples; DNBSEQ-E25: 8 samples</t>
  </si>
  <si>
    <t>MGI ATOPlex MTB Library Preparation Set</t>
  </si>
  <si>
    <t>ATOPlex MTB Library Preparation Set, 96 rxns</t>
  </si>
  <si>
    <r>
      <t xml:space="preserve">DNBSEQ-E25, DNBSEQ-G99, </t>
    </r>
    <r>
      <rPr>
        <sz val="11"/>
        <color rgb="FFFF0000"/>
        <rFont val="Calibri"/>
        <family val="2"/>
        <scheme val="minor"/>
      </rPr>
      <t>DNBSEQ-G50, DNBSEQ-G400</t>
    </r>
  </si>
  <si>
    <t>940-001601-00</t>
  </si>
  <si>
    <t>Set - 940-001601-00. 576 rxns also available.</t>
  </si>
  <si>
    <t>DeepChek Assay 13-Plex KB Drug Susceptibility Testing</t>
  </si>
  <si>
    <t>Illumina iSeq 100, MiniSeq, MiSeq, NextSeq, Thermofisher
S5, PGM, Oxford Nanopore MinIon, Gridion…</t>
  </si>
  <si>
    <t>128A24</t>
  </si>
  <si>
    <t>DeepChek NGS Library Preparation Assay (96)</t>
  </si>
  <si>
    <t>116B24; 116B48; 116B96; 116B384</t>
  </si>
  <si>
    <t>DeepChek Adapters (1-96)</t>
  </si>
  <si>
    <t>124B24; 124B48; 124B96; 124B384</t>
  </si>
  <si>
    <t>DeepChek TB Sample Preparation</t>
  </si>
  <si>
    <t>127B-240862</t>
  </si>
  <si>
    <t>DeepChek® NGS Clean-up beads (60mL)</t>
  </si>
  <si>
    <t>N411-02</t>
  </si>
  <si>
    <t>&lt;--Annual Number Samples - Sequencer 1 and Sequencer 2</t>
  </si>
  <si>
    <t>EQUIPMENT</t>
  </si>
  <si>
    <t>&lt;--Annual Sample throughput after which liquid handler-lib prep is added to recommended equipment for Sequencer 1 only</t>
  </si>
  <si>
    <t>Workflow Step</t>
  </si>
  <si>
    <t>Select Item</t>
  </si>
  <si>
    <t>Unit cost (USD)</t>
  </si>
  <si>
    <t>Catalogue ref</t>
  </si>
  <si>
    <t>Comment</t>
  </si>
  <si>
    <t>Other sequencing platform</t>
  </si>
  <si>
    <t>Illumina iSeq 100</t>
  </si>
  <si>
    <t>Illumina MiniSeq</t>
  </si>
  <si>
    <t>SY-420-1001</t>
  </si>
  <si>
    <t>Illumina MiSeq</t>
  </si>
  <si>
    <t>SY-410-1003</t>
  </si>
  <si>
    <t>Illumina NextSeq 1000</t>
  </si>
  <si>
    <t>Illumina NextSeq 2000</t>
  </si>
  <si>
    <t>Illumina NovaSeq 6000</t>
  </si>
  <si>
    <t>ONT Flongle (Starter Pack)</t>
  </si>
  <si>
    <t>FLGIntSP</t>
  </si>
  <si>
    <t xml:space="preserve"> (1 Flongle adapter, 1 Flongle sequencing expansion, 12 Flongle Flow cells)</t>
  </si>
  <si>
    <t>ONT MinION Mk1B</t>
  </si>
  <si>
    <t>ONT MinION Mk1C</t>
  </si>
  <si>
    <t>ONT GridION (Project Pack)</t>
  </si>
  <si>
    <t>GRDProject</t>
  </si>
  <si>
    <t>ONT PromethION 2 Solo (Starter Pack)</t>
  </si>
  <si>
    <t>P2SoloBasicSP</t>
  </si>
  <si>
    <t>ONT PromethION 24 (Project Pack XL)</t>
  </si>
  <si>
    <t>PRM24XL</t>
  </si>
  <si>
    <t>ThermoFisher Ion GeneStudio S5 System</t>
  </si>
  <si>
    <t>A38194</t>
  </si>
  <si>
    <t>15GB max throughput; one Ion chip</t>
  </si>
  <si>
    <t>ThermoFisher Ion GeneStudio S5 Plus System</t>
  </si>
  <si>
    <t>A38195</t>
  </si>
  <si>
    <t>30GB max throughput; two Ion chips</t>
  </si>
  <si>
    <t>ThermoFisher Ion GeneStudio S5 Prime System</t>
  </si>
  <si>
    <t>A38196</t>
  </si>
  <si>
    <t>50GB max throughput; two Ion chips</t>
  </si>
  <si>
    <t>MGI DNBSEQ-E25RS (standard model)</t>
  </si>
  <si>
    <t>900-000537-00</t>
  </si>
  <si>
    <t>25M reads, 7.5Gb for PE150 ru; 1 flow cell/run; DNBSEQ-E25ARS (900-000538-00) advanced model with bioformatics module</t>
  </si>
  <si>
    <t>MGI DNBSEQ-G99ARS (with bioinformatics module)</t>
  </si>
  <si>
    <t>900-000609-00</t>
  </si>
  <si>
    <t>FCL (80 M reads). FCS (40 M reads)-new, FUL(160 M reads)- new;  max 2 flow cells/run. Without bioinformatics module - DNBSEQ-G99RS (900-000607-00)</t>
  </si>
  <si>
    <t>MGI DNBSEQ-G50RS (Config 2)</t>
  </si>
  <si>
    <t>900-000354-00</t>
  </si>
  <si>
    <t>FCS (100 M reads), FCL (500 M reads); 1 flow cell/run</t>
  </si>
  <si>
    <t>MGI DNBSEQ-G400RS</t>
  </si>
  <si>
    <t>900-000170-00</t>
  </si>
  <si>
    <t>FCS (550 M reads, 2 lanes), FCL(1500 M-1800 M reads, 4 lanes); max 2 flow cells/run</t>
  </si>
  <si>
    <t>quantities are based on based on annual throughput ranges from GCT v1</t>
  </si>
  <si>
    <t>Number of runs to complete listed quantity</t>
  </si>
  <si>
    <t>Select from DropDown below-Sequencer1</t>
  </si>
  <si>
    <t>Select from DropDown below-Sequencer2</t>
  </si>
  <si>
    <t>Thermo Combos</t>
  </si>
  <si>
    <t>Developers notes</t>
  </si>
  <si>
    <t>Sequencing reagents</t>
  </si>
  <si>
    <t>Number of packs/run</t>
  </si>
  <si>
    <t>Number of packs (for all samples) - seq platform 1</t>
  </si>
  <si>
    <t>Number of packs (for all samples) - seq platform 2</t>
  </si>
  <si>
    <t>Read length (bp)</t>
  </si>
  <si>
    <t xml:space="preserve">Max Number of single reads per flowcell/chip </t>
  </si>
  <si>
    <t>Max output - Specs</t>
  </si>
  <si>
    <t>Catalogue Ref</t>
  </si>
  <si>
    <t>Number of times ONT flowcells are reused (Tech note suggets 5)</t>
  </si>
  <si>
    <t>Other sequencing kit</t>
  </si>
  <si>
    <t>Ion 510 &amp; Ion 520 &amp; Ion 530 Kit – Chef (2 seq runs; 8 rxns)</t>
  </si>
  <si>
    <t>Ion 520 &amp; Ion 530 ExT Kit Chef (4 rxns)</t>
  </si>
  <si>
    <t>Ion 540 Kit Chef  (2 seq runs; 8 rxns)</t>
  </si>
  <si>
    <t>iSeq 100 i1 Reagent v2 (300-cycle)</t>
  </si>
  <si>
    <t>Ion 510 Chip Kit (8 chips)</t>
  </si>
  <si>
    <t>Ion 520 Chip Kit (8 chips)</t>
  </si>
  <si>
    <t>Ion 530 Chip Kit (8 chips)</t>
  </si>
  <si>
    <t>Ion 540 Chip Kit (8 chips)</t>
  </si>
  <si>
    <t>4x iSeq 100 i1 Reagent v2 (300-cycle)</t>
  </si>
  <si>
    <t>8x iSeq 100 i1 Reagent v2 (300-cycle)</t>
  </si>
  <si>
    <t>MiniSeq High Output Reagent Kit (150-cycles)</t>
  </si>
  <si>
    <t>FC-420-1002</t>
  </si>
  <si>
    <t>MiniSeq High Output Reagent Kit (300 cycles)</t>
  </si>
  <si>
    <t>FC-420-1003</t>
  </si>
  <si>
    <t>MiniSeq Mid Output Reagent Kit (300 cycles)</t>
  </si>
  <si>
    <t>FC-420-1004</t>
  </si>
  <si>
    <t>MiSeq Reagent Kit v3 (150-cycle)</t>
  </si>
  <si>
    <t>MS-102-3001</t>
  </si>
  <si>
    <t>MiSeq Reagent Kit v3 (600 cycle)</t>
  </si>
  <si>
    <t>MS-102-3003</t>
  </si>
  <si>
    <t>MiSeq Reagent Kit v2 (50-cycles)</t>
  </si>
  <si>
    <t>MS-102-2001</t>
  </si>
  <si>
    <t>lowest ooutput in the range taken</t>
  </si>
  <si>
    <t>MiSeq Reagent Kit v2 (300 cycle)</t>
  </si>
  <si>
    <t>MS-102-2002</t>
  </si>
  <si>
    <t>MiSeq Reagent Kit v2 (500-cycles)</t>
  </si>
  <si>
    <t>MS-102-2003</t>
  </si>
  <si>
    <t>20x MiSeq Reagent Kit v2 (50-cycles)</t>
  </si>
  <si>
    <t>MS-102-2021</t>
  </si>
  <si>
    <t>20x MiSeq Reagent Kit v2 (300 cycle)</t>
  </si>
  <si>
    <t>MS-102-2022</t>
  </si>
  <si>
    <t>20x MiSeq Reagent Kit v2 (500-cycles)</t>
  </si>
  <si>
    <t>MS-102-2023</t>
  </si>
  <si>
    <t>NextSeq 1000/2000 P1 XLEAP-SBS Reagent Kit (100 Cycles)</t>
  </si>
  <si>
    <t>NextSeq 1000/2000 P1 XLEAP-SBS Reagent Kit (300 Cycles)</t>
  </si>
  <si>
    <t>NextSeq 1000/2000 P1 XLEAP-SBS Reagent Kit (600 Cycles)</t>
  </si>
  <si>
    <t>NextSeq 1000/2000 P2 XLEAP-SBS Reagent Kit (100 Cycles)</t>
  </si>
  <si>
    <t>NextSeq 1000/2000 P2 XLEAP-SBS Reagent Kit (200 Cycles)</t>
  </si>
  <si>
    <t>NextSeq 1000/2000 P2 XLEAP-SBS Reagent Kit (300 Cycles)</t>
  </si>
  <si>
    <t>NextSeq 1000/2000 P2 XLEAP-SBS Reagent Kit (600 Cycles)</t>
  </si>
  <si>
    <t>NextSeq 2000 P3 XLEAP-SBS Reagent Kit (100 Cycles)</t>
  </si>
  <si>
    <t>NextSeq 2000 P3 XLEAP-SBS Reagent Kit (200 Cycles)</t>
  </si>
  <si>
    <t>NextSeq 2000 P3 XLEAP-SBS Reagent Kit (300 Cycles)</t>
  </si>
  <si>
    <t>NextSeq 2000 P4 XLEAP-SBS Reagent Kit (100 Cycles)</t>
  </si>
  <si>
    <t>NextSeq 2000 P4 XLEAP-SBS Reagent Kit (200 Cycles)</t>
  </si>
  <si>
    <t>NextSeq 2000 P4 XLEAP-SBS Reagent Kit (300 Cycles)</t>
  </si>
  <si>
    <t>NovaSeq 6000 SP Reagent Kit v1.5 (200 cycle)</t>
  </si>
  <si>
    <t>NovaSeq 6000 S4 Reagent Kit v1.5 (300 cycles)</t>
  </si>
  <si>
    <t>NovaSeq 6000 S4 Reagent Kit v1.5 (200 cycles)</t>
  </si>
  <si>
    <t>NovaSeq 6000 S2 Reagent Kit v1.5 (300 cycles)</t>
  </si>
  <si>
    <t>NovaSeq 6000 S2 Reagent Kit v1.5 (200 cycles)</t>
  </si>
  <si>
    <t>NovaSeq 6000 S2 Reagent Kit v1.5 (100 cycles)</t>
  </si>
  <si>
    <t>NovaSeq 6000 S1 Reagent Kit v1.5 (300 cycles)</t>
  </si>
  <si>
    <t>NovaSeq 6000 S1 Reagent Kit v1.5 (200 cycles)</t>
  </si>
  <si>
    <t>NovaSeq 6000 S1 Reagent Kit v1.5 (100 cycles)</t>
  </si>
  <si>
    <t>NovaSeq 6000 SP Reagent Kit v1.5 (300 cycles)</t>
  </si>
  <si>
    <t>NovaSeq 6000 SP Reagent Kit v1.5 (100 cycles)</t>
  </si>
  <si>
    <t>NovaSeq 6000 SP Reagent Kit v1.5 (500 cycles)</t>
  </si>
  <si>
    <t>12x Flongle Flow Cell R10.4.1</t>
  </si>
  <si>
    <t>FLO-FLG114</t>
  </si>
  <si>
    <t>1x MinION or GridION R9.4.1 or R10.4.1</t>
  </si>
  <si>
    <t>FLO-MIN114.001</t>
  </si>
  <si>
    <t>12x MinION or GridION R9.4.1 or R10.4.1</t>
  </si>
  <si>
    <t>FLO-MIN114.012</t>
  </si>
  <si>
    <t>24x MinION or GridION R9.4.1 or R10.4.1</t>
  </si>
  <si>
    <t>FLO-MIN114.024</t>
  </si>
  <si>
    <t>48x MinION or GridION R9.4.1 or R10.4.1</t>
  </si>
  <si>
    <t>FLO-MIN114.048</t>
  </si>
  <si>
    <t>96x MinION or GridION R9.4.1 or R10.4.1</t>
  </si>
  <si>
    <t>FLO-MIN114.096</t>
  </si>
  <si>
    <t>pair with Direct RNA sequencing kit</t>
  </si>
  <si>
    <t>1x Flow Cell (RNA)</t>
  </si>
  <si>
    <t>FLO-MIN004RA.001</t>
  </si>
  <si>
    <t>12x Flow Cell (RNA)</t>
  </si>
  <si>
    <t>FLO-MIN004RA.012</t>
  </si>
  <si>
    <t>24x Flow Cell (RNA)</t>
  </si>
  <si>
    <t>FLO-MIN004RA.024</t>
  </si>
  <si>
    <t>48x Flow Cell (RNA)</t>
  </si>
  <si>
    <t>FLO-MIN004RA.048</t>
  </si>
  <si>
    <t>96x Flow Cell (RNA)</t>
  </si>
  <si>
    <t>FLO-MIN004RA.096</t>
  </si>
  <si>
    <t>1x PromethION Flow Cell Packs (R10.4.1; 4 flow cells)</t>
  </si>
  <si>
    <t>FLO-PRO114M</t>
  </si>
  <si>
    <t>3x PromethION Flow Cell Packs (R10.4.1; 12 flow cells)</t>
  </si>
  <si>
    <t>8x PromethION Flow Cell Packs (R10.4.1; 24 flow cells)</t>
  </si>
  <si>
    <t>1x PromethION Flow Cell Packs (RNA) - 1 pack (4 flow cells)</t>
  </si>
  <si>
    <t>FLO-PRO004RA</t>
  </si>
  <si>
    <t>3x PromethION Flow Cell Packs (RNA; 12 flow cells)</t>
  </si>
  <si>
    <t>8x PromethION Flow Cell Packs (RNA; 24 flow cells)</t>
  </si>
  <si>
    <t>read length &amp; output depends on chip selected</t>
  </si>
  <si>
    <t>Ion 510 &amp; Ion 520 &amp; Ion 530 Kit – Chef (2 seq runs; 8 rxns) and Ion 510 Chip Kit (8 chips)</t>
  </si>
  <si>
    <t>A34461, A34292</t>
  </si>
  <si>
    <t>highest ooutput in the range taken to match the number of single reads</t>
  </si>
  <si>
    <t>Ion 510 &amp; Ion 520 &amp; Ion 530 Kit – Chef (2 seq runs; 8 rxns) and Ion 520 Chip Kit (8 chips)</t>
  </si>
  <si>
    <t>A34461, A27762</t>
  </si>
  <si>
    <t>Ion 510 &amp; Ion 520 &amp; Ion 530 Kit – Chef (2 seq runs; 8 rxns) and Ion 530 Chip Kit (8 chips)</t>
  </si>
  <si>
    <t>A34461, A27764</t>
  </si>
  <si>
    <t>2 x Ion 520 &amp; Ion 530 ExT Kit Chef (4 rxns) and 1 x  Ion 520 Chip Kit (8 chips)</t>
  </si>
  <si>
    <t>A30670, A27762</t>
  </si>
  <si>
    <t>2 x Ion 520 &amp; Ion 530 ExT Kit Chef (4 rxns) and 1 x Ion 530 Chip Kit (8 chips)</t>
  </si>
  <si>
    <t>A30670, A27764</t>
  </si>
  <si>
    <t>paired item</t>
  </si>
  <si>
    <t>Ion 540 Kit Chef  (2 seq runs; 8 rxns) and Ion 540 Chip Kit (8 chips)</t>
  </si>
  <si>
    <t>A27766, A30011</t>
  </si>
  <si>
    <t>DNBSEQ-E25RS High-throughput Sequencing Set (FCL PE150)</t>
  </si>
  <si>
    <t>940-000567-00</t>
  </si>
  <si>
    <t>DNBSEQ-E25RS High-throughput Sequencing Set (App-C FCL PE150)</t>
  </si>
  <si>
    <t>940-000574-00</t>
  </si>
  <si>
    <t>DNBSEQ-G99RS High-throughput Sequencing Set (G99 FCL SE100/PE50)</t>
  </si>
  <si>
    <t>940-001268-00</t>
  </si>
  <si>
    <t>DNBSEQ-G99RS High-throughput Sequencing Set (G99 FCL PE150)</t>
  </si>
  <si>
    <t>940-001269-00</t>
  </si>
  <si>
    <t>DNBSEQ-G99RS High-throughput Sequencing Set (G99 App-D FCL PE150)</t>
  </si>
  <si>
    <t>940-001274-00</t>
  </si>
  <si>
    <t>only App-D reagent avalable for G99 FCL PE300</t>
  </si>
  <si>
    <t>DNBSEQ-G99RS High-throughput Sequencing Set (G99 App-D FCL PE300)</t>
  </si>
  <si>
    <t>940-001716-00</t>
  </si>
  <si>
    <t>only App-D reagent avalable for G99 FCS</t>
  </si>
  <si>
    <t>DNBSEQ-G99RS High-throughput Sequencing Reagent Set (G99 App-D FCS PE150)</t>
  </si>
  <si>
    <t>940-002649-00</t>
  </si>
  <si>
    <t>DNBSEQ-G50RS High-throughput Sequencing Set (FCL PE100)</t>
  </si>
  <si>
    <t>940-001625-00</t>
  </si>
  <si>
    <t>DNBSEQ-G50RS High-throughput Sequencing Set (FCL PE150)</t>
  </si>
  <si>
    <t>940-001620-00</t>
  </si>
  <si>
    <t>DNBSEQ-G50RS High-throughput Rapid Sequencing Set (FCS PE100)</t>
  </si>
  <si>
    <t>940-001630-00</t>
  </si>
  <si>
    <t>DNBSEQ-G50RS High-throughput Rapid Sequencing Set (FCS PE150)</t>
  </si>
  <si>
    <t>940-001633-00</t>
  </si>
  <si>
    <t>DNBSEQ-G400RS High-throughput Sequencing Set (FCL PE100)</t>
  </si>
  <si>
    <t>DNBSEQ-G400RS High-throughput Sequencing Set (FCL PE150)</t>
  </si>
  <si>
    <t>DNBSEQ-G400RS High-throughput Rapid Sequencing Set (SM DB FCS PE150)</t>
  </si>
  <si>
    <t>940-000231-00</t>
  </si>
  <si>
    <t>DNBSEQ-G400RS High-throughput Rapid Sequencing Set  (SM DB FCS PE100)</t>
  </si>
  <si>
    <t>940-000232-00</t>
  </si>
  <si>
    <t xml:space="preserve">DNBSEQ-G400RS High-throughput Sequencing Reagent Set (G400 App-D FCL PE100) </t>
  </si>
  <si>
    <t>940-001806-00</t>
  </si>
  <si>
    <t>DNBSEQ-G400RS High-throughput Sequencing Reagent Set (G400 App-D FCL PE150)</t>
  </si>
  <si>
    <t>940-001801-00</t>
  </si>
  <si>
    <t>DNBSEQ-G400RS High-throughput Rapid Sequencing Set (SM App-A DB FCS PE150)</t>
  </si>
  <si>
    <t>940-000228-00</t>
  </si>
  <si>
    <t>DNBSEQ-G400RS High-throughput Rapid Sequencing Set (SM App-A DB FCS PE100)</t>
  </si>
  <si>
    <t>940-000229-00</t>
  </si>
  <si>
    <t>1st sequencer</t>
  </si>
  <si>
    <t>2nd sequencer</t>
  </si>
  <si>
    <t># samples per year</t>
  </si>
  <si>
    <t>&lt;--High throughput threshold</t>
  </si>
  <si>
    <t>(choose a bundle below)</t>
  </si>
  <si>
    <t># runs per year</t>
  </si>
  <si>
    <r>
      <rPr>
        <b/>
        <i/>
        <sz val="11"/>
        <color rgb="FF000000"/>
        <rFont val="Calibri"/>
        <family val="2"/>
        <scheme val="minor"/>
      </rPr>
      <t>*GCTv2 Note on Quantity per sample</t>
    </r>
    <r>
      <rPr>
        <i/>
        <sz val="11"/>
        <color rgb="FF000000"/>
        <rFont val="Calibri"/>
        <family val="2"/>
        <scheme val="minor"/>
      </rPr>
      <t>: Here we base calculation either on quantity per sample or per run. The numbers used for estimation here are from v1</t>
    </r>
  </si>
  <si>
    <t># controls per year</t>
  </si>
  <si>
    <t>Item Category</t>
  </si>
  <si>
    <t>Catalogue</t>
  </si>
  <si>
    <t>Quantity per sample*</t>
  </si>
  <si>
    <t>Annual # packs -1</t>
  </si>
  <si>
    <t>Annual # packs -2</t>
  </si>
  <si>
    <t>Annual # packs - Total</t>
  </si>
  <si>
    <t>Unit price (USD)</t>
  </si>
  <si>
    <t>reference cal for NGS</t>
  </si>
  <si>
    <t>tip size</t>
  </si>
  <si>
    <t>quantity of tips</t>
  </si>
  <si>
    <t>ref samples</t>
  </si>
  <si>
    <t>10ul</t>
  </si>
  <si>
    <t>100ul</t>
  </si>
  <si>
    <t>200ul</t>
  </si>
  <si>
    <t>1000ul</t>
  </si>
  <si>
    <t>CHANGE TO 96 OR 384 PACK</t>
  </si>
  <si>
    <t>optional</t>
  </si>
  <si>
    <t>E3005S</t>
  </si>
  <si>
    <t>M0493L</t>
  </si>
  <si>
    <t>Qubit Q32854</t>
  </si>
  <si>
    <t>Agilent 5067-4626</t>
  </si>
  <si>
    <t>EXP-WSH004</t>
  </si>
  <si>
    <t>LUMPED INCIDENTALS - Item Category (R or C)</t>
  </si>
  <si>
    <t>Item(pack size)</t>
  </si>
  <si>
    <t># per run</t>
  </si>
  <si>
    <t>Quantity per sample</t>
  </si>
  <si>
    <t>Total Price-1</t>
  </si>
  <si>
    <t>Total Price-2</t>
  </si>
  <si>
    <t>Sample Receipt</t>
  </si>
  <si>
    <t xml:space="preserve">Consumable </t>
  </si>
  <si>
    <t>Nitrile gloves(100)</t>
  </si>
  <si>
    <t>Nitrile gloves(1000)</t>
  </si>
  <si>
    <t>Nucleic Acid Extraction</t>
  </si>
  <si>
    <t>Laboratory coat/gown (5 pieces; assume 6 pp &amp; NGS team of 4 in low throughput lab; double team size for high)</t>
  </si>
  <si>
    <t>PCR Testing</t>
  </si>
  <si>
    <t>Equipment</t>
  </si>
  <si>
    <t>Tube Racks (floating, 1 rack 24 rxn)</t>
  </si>
  <si>
    <t>NGS Library Preparation</t>
  </si>
  <si>
    <t>Reagent</t>
  </si>
  <si>
    <t>RNAse away</t>
  </si>
  <si>
    <t>Paper towels (25 pack of 135 sheets;assume 1 per washing station-with 5 stations in small lab; 1 pack used weekly)</t>
  </si>
  <si>
    <t>Laboratory coat/gown (5 pieces)</t>
  </si>
  <si>
    <t>Isopropanol, 70% (Case 4x3.8L)</t>
  </si>
  <si>
    <t>Autoclave bags, large (200 pack)</t>
  </si>
  <si>
    <t>Autoclave bags, (small, 1000bgs)</t>
  </si>
  <si>
    <t>(Molecular grade) Nuclease free H2O</t>
  </si>
  <si>
    <t>Permanent Marker (case of 10)</t>
  </si>
  <si>
    <t>Disinfectant/Soap</t>
  </si>
  <si>
    <t>Bleach (for decontamination of lab space)</t>
  </si>
  <si>
    <t>Disinfectant Wipes (85wipesx6canisters)</t>
  </si>
  <si>
    <t>Lens paper (2000/pack)</t>
  </si>
  <si>
    <t>Lab Tape (1-pack)</t>
  </si>
  <si>
    <t>totals (if included in one workflow)</t>
  </si>
  <si>
    <t>$/sample</t>
  </si>
  <si>
    <t>Autoclave bags, large (200)</t>
  </si>
  <si>
    <t>Autoclave bags, small (1000)</t>
  </si>
  <si>
    <t>Permanent Marker, case of 10</t>
  </si>
  <si>
    <t>Bleach or equivalent</t>
  </si>
  <si>
    <t>Wipes</t>
  </si>
  <si>
    <t>Lab Tape</t>
  </si>
  <si>
    <t>GCTv2 COVERAGE CALCULATOR (based on Illumina Online Tool)</t>
  </si>
  <si>
    <t>https://emea.support.illumina.com/downloads/sequencing_coverage_calculator.html</t>
  </si>
  <si>
    <t>Additional calculations for min read length and buffer</t>
  </si>
  <si>
    <t>Platform 1</t>
  </si>
  <si>
    <t>Platform 2</t>
  </si>
  <si>
    <t>TEST_BA</t>
  </si>
  <si>
    <t>Developers Notes</t>
  </si>
  <si>
    <t>&lt;---User-specificed annual throughput</t>
  </si>
  <si>
    <t>Buffer capacity</t>
  </si>
  <si>
    <t>&lt;---User-selected sequencing reagent kit</t>
  </si>
  <si>
    <t>Number of reads per sample (genome*coverage/read length)</t>
  </si>
  <si>
    <t>OrthoP</t>
  </si>
  <si>
    <t>&lt;---User-selected pathogen</t>
  </si>
  <si>
    <t>Minimum number of reads per sample based on pathogen type</t>
  </si>
  <si>
    <t>&lt;---User-selected library prep kit</t>
  </si>
  <si>
    <t>Min number of reads applied</t>
  </si>
  <si>
    <t>&lt;---Desired sequencing coverage per sample</t>
  </si>
  <si>
    <t>Number of reads per sample with the min read length applied with buffer</t>
  </si>
  <si>
    <t>based on nb of cycles in kit; uses lowest read length per kit; ONT flowcells require user input</t>
  </si>
  <si>
    <t>&lt;--Read length for selected sequencing reagent kit (in bp)</t>
  </si>
  <si>
    <t>&lt;---Number of reads (or clusters) per flowcell/chip for selected sequencing reagent kit (based on Gb output)</t>
  </si>
  <si>
    <t>&lt;---Genome size (Mbases)</t>
  </si>
  <si>
    <t>&lt;---Barcoding (indices limit per flow cell) for selected library prep kit</t>
  </si>
  <si>
    <t>&lt;---RESULT 1: total output required per sample for desired coverage (bases)</t>
  </si>
  <si>
    <t>&lt;---Nb of reads per sample for desired coverage with buffer</t>
  </si>
  <si>
    <t>&lt;---RESULT 2: Max number of samples per flowcell for selected sequencing reagent kit</t>
  </si>
  <si>
    <t>&lt;---RESULT 3: Max number of samples per flowcell (within lib prep barcoding limit)</t>
  </si>
  <si>
    <t>this assumes 100% loading capacity; more runs likely needed</t>
  </si>
  <si>
    <t>&lt;-- Number of runs annually</t>
  </si>
  <si>
    <t>COLUMN D-anx3</t>
  </si>
  <si>
    <t>&lt;---MAX NUMBER OF PACKS OF SEQUENCING REAGENT (based on full loading; not average that's input by the user)</t>
  </si>
  <si>
    <t>&lt;---MAX NUMBER OF PACKS OF SEQUENCING REAGENT (based on average loading input by the user)</t>
  </si>
  <si>
    <t>COLUMN H- anx1</t>
  </si>
  <si>
    <t xml:space="preserve">total samples divided by total barcodes across all libraries </t>
  </si>
  <si>
    <t>&lt;---MAX NUMBER OF PACKS OF LIBRARY PREP KITS/ BARCODING KITS</t>
  </si>
  <si>
    <t>&lt;---[NOT YET IN USE] NUMBER OF PACKS OF ADDITIONAL REAGENTS</t>
  </si>
  <si>
    <t>Pathogen</t>
  </si>
  <si>
    <t>Pathogen Type</t>
  </si>
  <si>
    <t>Genome</t>
  </si>
  <si>
    <t xml:space="preserve"> Genome size (Mb)</t>
  </si>
  <si>
    <t>Required Coverage*</t>
  </si>
  <si>
    <t>influenza virus</t>
  </si>
  <si>
    <t>Virus</t>
  </si>
  <si>
    <t>RNA</t>
  </si>
  <si>
    <t>monkeypox virus</t>
  </si>
  <si>
    <t>DNA</t>
  </si>
  <si>
    <t>dengue virus</t>
  </si>
  <si>
    <t>chikungunya virus</t>
  </si>
  <si>
    <t>respiratory syncytial virus (RSV)</t>
  </si>
  <si>
    <t>Zika virus</t>
  </si>
  <si>
    <t>Ebola virus</t>
  </si>
  <si>
    <t>human immunodeficiency virus (HIV)</t>
  </si>
  <si>
    <t>Crimean-Congo haemorrhagic fever virus (CCHF)</t>
  </si>
  <si>
    <t>human adenovirus (ADV)</t>
  </si>
  <si>
    <t>poliovirus</t>
  </si>
  <si>
    <t>severe acute respiratory syndrome coronavirus 2 (SARS-CoV-2)</t>
  </si>
  <si>
    <t>Other virus</t>
  </si>
  <si>
    <t>Enter value</t>
  </si>
  <si>
    <t>Mycobacterium tuberculosis (WGS)</t>
  </si>
  <si>
    <t>https://www.ncbi.nlm.nih.gov/pmc/articles/PMC5405243/</t>
  </si>
  <si>
    <t>Mycobacterium tuberculosis (tNGS)</t>
  </si>
  <si>
    <r>
      <rPr>
        <b/>
        <i/>
        <sz val="11"/>
        <color rgb="FF000000"/>
        <rFont val="Calibri"/>
        <family val="2"/>
      </rPr>
      <t xml:space="preserve">Salmonella </t>
    </r>
    <r>
      <rPr>
        <b/>
        <sz val="11"/>
        <color rgb="FF000000"/>
        <rFont val="Calibri"/>
        <family val="2"/>
      </rPr>
      <t>spp.</t>
    </r>
  </si>
  <si>
    <t>Escherichia coli</t>
  </si>
  <si>
    <t>Other bacteria</t>
  </si>
  <si>
    <t>LABS SHOULD ENTER EXPECTED AMPLICON SIZE and ENTER LIBRARY PREP KIT</t>
  </si>
  <si>
    <t>Output and number of bases will vary based on whether sequencing whole genome or just a part of it (amplicon-based);  changes length of read and coveage; - this needs to be beuilt into Annex4 logic</t>
  </si>
  <si>
    <t>LOGIC THAT APPLIES IF SEQUENCING ONE PATHOGEN ONLY  - AND NOT MULTIPLEXING</t>
  </si>
  <si>
    <t>MULTIPLEXING (I.E. CONSOLIDATING AMPLICON PLATES TO 1 SEQUENCING LIBRARY PREP PLATE - WHICH IS MIXING SEVERAL PAHTOGNES IN A RUN TO MAXIMISE USE OF FLOWCELLS</t>
  </si>
  <si>
    <t>SARS-CoV-2 - ARTIC primers; ONT 400bp = amplicon length + lengths adapter/indices = MAX NEEDED READ LENGTH for sequencing run</t>
  </si>
  <si>
    <t xml:space="preserve"> </t>
  </si>
  <si>
    <t>IF MULTIPLEXING - OTHER AMPLICONS LENGTHS FOR EACH NEW PATHOGEN NEEDS TO BE ADDED</t>
  </si>
  <si>
    <t>Pathogens requirings targetted sequencing</t>
  </si>
  <si>
    <t>regions that must be sequenced</t>
  </si>
  <si>
    <t>length of each region</t>
  </si>
  <si>
    <t>%</t>
  </si>
  <si>
    <t>MPX</t>
  </si>
  <si>
    <t>WGS</t>
  </si>
  <si>
    <t>DENV</t>
  </si>
  <si>
    <t>CHIKV</t>
  </si>
  <si>
    <t>ZIKV</t>
  </si>
  <si>
    <t>EBOV</t>
  </si>
  <si>
    <t xml:space="preserve">HIV </t>
  </si>
  <si>
    <t>CCHFV</t>
  </si>
  <si>
    <t>AdV</t>
  </si>
  <si>
    <t>RVU: WGS or sequencing of the hexon gene for typing purposes</t>
  </si>
  <si>
    <t>RVU: Hexon seq:
2 amplicons
(Ad1/2: 481bp and HVR7.2: 1645bp</t>
  </si>
  <si>
    <t>Polio</t>
  </si>
  <si>
    <t>HepC</t>
  </si>
  <si>
    <t>Salmonella</t>
  </si>
  <si>
    <t>E. coli</t>
  </si>
  <si>
    <t>paper discussing on-target enrichment estimates</t>
  </si>
  <si>
    <t>https://www.nature.com/articles/ncomms12339</t>
  </si>
  <si>
    <t>Selected language:</t>
  </si>
  <si>
    <t>Russian</t>
  </si>
  <si>
    <t>Spanish</t>
  </si>
  <si>
    <t>French</t>
  </si>
  <si>
    <t>Turkish</t>
  </si>
  <si>
    <t>Select language ☛</t>
  </si>
  <si>
    <t>Выберите язык  ☛</t>
  </si>
  <si>
    <t>Seleccionar idioma ☛</t>
  </si>
  <si>
    <t>Sélectionner une langue ☛</t>
  </si>
  <si>
    <t>Genomics costing tool, second edition</t>
  </si>
  <si>
    <t>Инструмент оценки стоимости геномного секвенирования, второе издание</t>
  </si>
  <si>
    <t>Herramienta de estimación de costos en genómica, segunda edición</t>
  </si>
  <si>
    <t>Outil de calcul des coûts génomiques, deuxième édition</t>
  </si>
  <si>
    <t>User inputs</t>
  </si>
  <si>
    <t>Входные данные пользователя</t>
  </si>
  <si>
    <t>Entradas del usuario</t>
  </si>
  <si>
    <t>Saisie de l’utilisateur</t>
  </si>
  <si>
    <t>Name of the laboratory</t>
  </si>
  <si>
    <t>Наименование лаборатории</t>
  </si>
  <si>
    <t>Nombre del laboratorio</t>
  </si>
  <si>
    <t>Nom du laboratoire</t>
  </si>
  <si>
    <t>Country</t>
  </si>
  <si>
    <t>Страна</t>
  </si>
  <si>
    <t>País</t>
  </si>
  <si>
    <t>Pays</t>
  </si>
  <si>
    <t>Year</t>
  </si>
  <si>
    <t>Год</t>
  </si>
  <si>
    <t>Año</t>
  </si>
  <si>
    <t>Année</t>
  </si>
  <si>
    <t>Currency</t>
  </si>
  <si>
    <t>Валюта</t>
  </si>
  <si>
    <t>Moneda</t>
  </si>
  <si>
    <t>Devise</t>
  </si>
  <si>
    <t>Метод секвенирования</t>
  </si>
  <si>
    <t>Método de secuenciación</t>
  </si>
  <si>
    <t>Méthode de séquençage</t>
  </si>
  <si>
    <t>Патоген</t>
  </si>
  <si>
    <t>Patógeno</t>
  </si>
  <si>
    <t>Agent pathogène</t>
  </si>
  <si>
    <t>Sample type</t>
  </si>
  <si>
    <t>Тип образца</t>
  </si>
  <si>
    <t>Tipo de muestra</t>
  </si>
  <si>
    <t>Type d'échantillon</t>
  </si>
  <si>
    <t>Estimated number of samples per year</t>
  </si>
  <si>
    <t>Прогнозируемое количество образцов в год</t>
  </si>
  <si>
    <t>Número estimado de muestras al año</t>
  </si>
  <si>
    <t>Nombre estimé d'échantillons par an</t>
  </si>
  <si>
    <t>Next-generation sequencing platform</t>
  </si>
  <si>
    <t>Платформа секвенирования нового поколения (NGS)</t>
  </si>
  <si>
    <t>Plataforma de secuenciación de nueva generación</t>
  </si>
  <si>
    <t>Plateforme de séquençage de nouvelle génération (NGS)</t>
  </si>
  <si>
    <t>Реагенты для секвенирования</t>
  </si>
  <si>
    <t>Reactivos de secuenciación</t>
  </si>
  <si>
    <t>Réactifs de séquençage</t>
  </si>
  <si>
    <t>Maximum number of samples per flow cell 
(within library preparation barcoding limit)</t>
  </si>
  <si>
    <t>Максимальное количество образцов, наносимых на проточную ячейку (в пределах лимита штрихкодирования при подготовке библиотеки)</t>
  </si>
  <si>
    <t>Número máximo de muestras por celda de flujo (dentro del límite de indexación/barcoding de la preparación de bibliotecas)</t>
  </si>
  <si>
    <t>Nombre maximal d'échantillons par cellule de flux 
(dans la limite du barcoding lors de la préparation de la banque)</t>
  </si>
  <si>
    <t>Number of working weeks for NGS runs per year</t>
  </si>
  <si>
    <t>Количество рабочих недель для постановок секвенирования в год</t>
  </si>
  <si>
    <t>Número de semanas laborales para corridas NGS por año</t>
  </si>
  <si>
    <t>Nombre de semaines de travail dédiées aux runs NGS par an</t>
  </si>
  <si>
    <t>Number of samples per working week to reach annual throughput</t>
  </si>
  <si>
    <t>Количество образцов в рабочую неделю для достижения годового объема образцов</t>
  </si>
  <si>
    <t>Número de muestras por semana laboral para alcanzar el rendimiento anual</t>
  </si>
  <si>
    <t>Nombre d’échantillons par semaine de travail pour atteindre le débit annuel</t>
  </si>
  <si>
    <t>Number of sequencing runs needed per working week</t>
  </si>
  <si>
    <t>Количество постановок секвенирования, необходимых в течении рабочей недели</t>
  </si>
  <si>
    <t>Número de corridas de secuenciación necesarias por semana laboral</t>
  </si>
  <si>
    <t>Nombre de run de séquençages nécessaires par semaine ouvrée</t>
  </si>
  <si>
    <t>% sequencer loading capacity (per run)</t>
  </si>
  <si>
    <t>% нормы загрузки секвенатора (в расчете на 1 постановку)</t>
  </si>
  <si>
    <t>% de capacidad de carga del secuenciador (por corrida)</t>
  </si>
  <si>
    <t>% de capacité de charge du séquenceur (par run)</t>
  </si>
  <si>
    <t>Library preparation/index kit</t>
  </si>
  <si>
    <t>Набор для подготовки библиотеки</t>
  </si>
  <si>
    <t>Kit de preparación de biblioteca/indexación</t>
  </si>
  <si>
    <t>Kit de préparation/index de la banque</t>
  </si>
  <si>
    <t>Биоинформатика</t>
  </si>
  <si>
    <t>Bioinformática</t>
  </si>
  <si>
    <t>Bioinformatique</t>
  </si>
  <si>
    <t>Sample retests (sequencing) (%)</t>
  </si>
  <si>
    <t>Повторное тестирование образцов (секвенирование) (%)</t>
  </si>
  <si>
    <t>Reprocesamiento de muestras (secuenciación) (%)</t>
  </si>
  <si>
    <t>Retests d'échantillons (séquençage) ( %)</t>
  </si>
  <si>
    <t>USD</t>
  </si>
  <si>
    <t>Долл. США</t>
  </si>
  <si>
    <t>Dólar estadounidense</t>
  </si>
  <si>
    <t xml:space="preserve">NGS </t>
  </si>
  <si>
    <t>NGS (cеквенирование нового поколения)</t>
  </si>
  <si>
    <t>Secuenciación de nueva generación (NGS)</t>
  </si>
  <si>
    <t>Английский</t>
  </si>
  <si>
    <t>Inglés</t>
  </si>
  <si>
    <t>Anglais</t>
  </si>
  <si>
    <t>Русский</t>
  </si>
  <si>
    <t>Ruso</t>
  </si>
  <si>
    <t>Russe</t>
  </si>
  <si>
    <t>Французский</t>
  </si>
  <si>
    <t>Francés</t>
  </si>
  <si>
    <t>Français</t>
  </si>
  <si>
    <t>Турецкий</t>
  </si>
  <si>
    <t>Turco</t>
  </si>
  <si>
    <t>Turc</t>
  </si>
  <si>
    <t>Получение образцов</t>
  </si>
  <si>
    <t>Recepción de muestras</t>
  </si>
  <si>
    <t>Réception des échantillons</t>
  </si>
  <si>
    <t>Выделение нуклеиновой кислоты</t>
  </si>
  <si>
    <t>Extracción de ácidos nucleicos</t>
  </si>
  <si>
    <t>Extraction des acides nucléiques</t>
  </si>
  <si>
    <t>ПЦР-тестирование</t>
  </si>
  <si>
    <t>Pruebas de PCR</t>
  </si>
  <si>
    <t>Tests PCR</t>
  </si>
  <si>
    <t>Подготовка библиотеки NGS</t>
  </si>
  <si>
    <t>Preparación de bibliotecas para NGS</t>
  </si>
  <si>
    <t>Préparation de la banque NGS</t>
  </si>
  <si>
    <t xml:space="preserve">Секвенирование </t>
  </si>
  <si>
    <t xml:space="preserve">Secuenciación  </t>
  </si>
  <si>
    <t>Séquençage</t>
  </si>
  <si>
    <t>Программное обеспечение (ПО) для облачного анализа</t>
  </si>
  <si>
    <t>Software de análisis basado en la nube</t>
  </si>
  <si>
    <t>Logiciel d'analyse basé sur le cloud</t>
  </si>
  <si>
    <t>In-house computing - high throughput</t>
  </si>
  <si>
    <t>Вычисление на внутренних ресурсах с высокой пропускной способностью</t>
  </si>
  <si>
    <t>Computación interna – rendimiento alto</t>
  </si>
  <si>
    <t>Informatique interne - haut débit</t>
  </si>
  <si>
    <t>In-house computing - low/mid throughput</t>
  </si>
  <si>
    <t>Вычисление на внутренних ресурсах с низкой/средней пропускной способностью</t>
  </si>
  <si>
    <t>Computación interna – rendimiento bajo/medio</t>
  </si>
  <si>
    <t>Informatique interne - débit faible/moyen</t>
  </si>
  <si>
    <t>Гибридный вариант, вычисление на внутренних ресурсах и с использованием ПО для облачного анализа</t>
  </si>
  <si>
    <t>Híbrido, interno y basado en la nube</t>
  </si>
  <si>
    <t>Hybride, interne et basé sur le cloud</t>
  </si>
  <si>
    <t>Key:</t>
  </si>
  <si>
    <t>Пояснение по цветовой кодировке:</t>
  </si>
  <si>
    <t>Clave:</t>
  </si>
  <si>
    <t>Légende :</t>
  </si>
  <si>
    <t>Fillable (free text)</t>
  </si>
  <si>
    <t>Заполняемое поле (произвольный текст)</t>
  </si>
  <si>
    <t>Rellenable (texto libre)</t>
  </si>
  <si>
    <t>Champ à remplir (texte libre)</t>
  </si>
  <si>
    <t>Select from drop-down options</t>
  </si>
  <si>
    <t>Выберите из вариантов в раскрывающемся окошке</t>
  </si>
  <si>
    <t>Seleccionar desde opciones desplegables</t>
  </si>
  <si>
    <t>Sélectionnez parmi les options déroulantes</t>
  </si>
  <si>
    <t>Fixed or formula (cannot be edited)</t>
  </si>
  <si>
    <t>Зафиксированное поле или формула (не может быть отредактировано)</t>
  </si>
  <si>
    <t>Fijo o fórmula (no se puede editar)</t>
  </si>
  <si>
    <t>Fixe ou formule (non modifiable)</t>
  </si>
  <si>
    <t>Prefilled data (contains formulas) – edit information or value if necessary/with caution (formula will be deleted)</t>
  </si>
  <si>
    <t>Предварительно заполненные данные (содержит формулы) — отредактируйте информацию или значение при необходимости/с осторожностью (формула будет удалена)</t>
  </si>
  <si>
    <t>Datos precargados (contiene fórmulas) – editar información o valor si es necesario/con precaución (la fórmula se eliminará)</t>
  </si>
  <si>
    <t>Données préremplies (avec formules) – modifier les informations ou valeurs si nécessaire/avec prudence (la formule sera supprimée)</t>
  </si>
  <si>
    <t>Output costs/results</t>
  </si>
  <si>
    <t>Конечные расходы /результаты</t>
  </si>
  <si>
    <t>Costos de salida/resultados</t>
  </si>
  <si>
    <t>Résultats / coûts de sortie</t>
  </si>
  <si>
    <t>New equipment to purchase</t>
  </si>
  <si>
    <t>Новое оборудование для покупки</t>
  </si>
  <si>
    <t>Nuevo equipo por adquirir</t>
  </si>
  <si>
    <t>Nouvel équipement à acquérir</t>
  </si>
  <si>
    <t>Establishment costs (equipment and bioinformatics)</t>
  </si>
  <si>
    <t>Расходы на создание лабораторной базы (оборудование и биоинформатика)</t>
  </si>
  <si>
    <t>Costos de establecimiento (equipo y bioinformática)</t>
  </si>
  <si>
    <t>Coûts de mise en place (équipements et bioinformatique)</t>
  </si>
  <si>
    <t>Total operational cost (per year)</t>
  </si>
  <si>
    <t>Общие операционные расходы (в год)</t>
  </si>
  <si>
    <t>Costo operativo total (por año)</t>
  </si>
  <si>
    <t>Coût opérationnel total (par an)</t>
  </si>
  <si>
    <t>Costs per category</t>
  </si>
  <si>
    <t>Расходы по категориям</t>
  </si>
  <si>
    <t>Costos por categoría</t>
  </si>
  <si>
    <t>Coûts par catégorie</t>
  </si>
  <si>
    <t>Cost per sample</t>
  </si>
  <si>
    <t>Расходы в расчете на 1 образец</t>
  </si>
  <si>
    <t>Costo por muestra</t>
  </si>
  <si>
    <t>Coût par échantillon</t>
  </si>
  <si>
    <t>Total</t>
  </si>
  <si>
    <t>Итого</t>
  </si>
  <si>
    <t>Reagents for sequencing and library preparation - Sequencer 1 (with sample retests)</t>
  </si>
  <si>
    <t>Реагенты для секвенирования и подготовки библиотеки - Секвенатор 1 (вкл. повторное тестирование образцов)</t>
  </si>
  <si>
    <t>Reactivos para secuenciación y preparación de biblioteca - Secuenciador 1 (con reprocesamiento de muestras)</t>
  </si>
  <si>
    <t>Réactifs pour le séquençage et la préparation de la banque - Séquenceur 1 (avec retests d'échantillons)</t>
  </si>
  <si>
    <t>Reagents and consumables (including sample retests)</t>
  </si>
  <si>
    <t>Реагенты и расходные материалы (вкл. повторное тестирование образцов)</t>
  </si>
  <si>
    <t>Reactivos y consumibles (incluyendo reprocesamiento de muestras)</t>
  </si>
  <si>
    <t>Réactifs et consommables (incluant les retests d'échantillons)</t>
  </si>
  <si>
    <t>Equipment maintenance</t>
  </si>
  <si>
    <t>Техническое обслуживание оборудования</t>
  </si>
  <si>
    <t>Mantenimiento de equipo</t>
  </si>
  <si>
    <t>Maintenance des équipements</t>
  </si>
  <si>
    <t>Personnel and training</t>
  </si>
  <si>
    <t>Персонал и обучение</t>
  </si>
  <si>
    <t>Personal y capacitación</t>
  </si>
  <si>
    <t>Personnel et formation</t>
  </si>
  <si>
    <t>Facility and transport</t>
  </si>
  <si>
    <t>Помещение и транспорт</t>
  </si>
  <si>
    <t>Instalaciones y transporte</t>
  </si>
  <si>
    <t>Infrastructure physique et transport</t>
  </si>
  <si>
    <t>Quality management</t>
  </si>
  <si>
    <t>Менеджмент качества</t>
  </si>
  <si>
    <t>Gestión de calidad</t>
  </si>
  <si>
    <t>Gestion de la qualité</t>
  </si>
  <si>
    <t>Costs per lab workflow step</t>
  </si>
  <si>
    <t>Расходы в расчете на этап рабочего процесса в лаборатории</t>
  </si>
  <si>
    <t>Costos por paso de flujo de trabajo del laboratorio</t>
  </si>
  <si>
    <t>Coûts par étape du flux de travail en laboratoire</t>
  </si>
  <si>
    <t>Reagents and consumables</t>
  </si>
  <si>
    <t>Реагенты и расходные материалы</t>
  </si>
  <si>
    <t>Reactivos y consumibles</t>
  </si>
  <si>
    <t>Réactifs et consommables</t>
  </si>
  <si>
    <t>Этап рабочего процесса</t>
  </si>
  <si>
    <t>Paso del flujo de trabajo</t>
  </si>
  <si>
    <t>Étape du flux de travail</t>
  </si>
  <si>
    <t>Reagent/consumable</t>
  </si>
  <si>
    <t>Реагент/расходный материал</t>
  </si>
  <si>
    <t>Reactivo/consumible</t>
  </si>
  <si>
    <t>Réactif/consommable</t>
  </si>
  <si>
    <t>Наименование реагента/расходного материала</t>
  </si>
  <si>
    <t>Ítem</t>
  </si>
  <si>
    <t>Article</t>
  </si>
  <si>
    <t>Количество</t>
  </si>
  <si>
    <t>Cantidad</t>
  </si>
  <si>
    <t>Quantité</t>
  </si>
  <si>
    <t>Цена единицы</t>
  </si>
  <si>
    <t>Precio por unidad</t>
  </si>
  <si>
    <t>Prix unitaire</t>
  </si>
  <si>
    <t>Общая стоимость</t>
  </si>
  <si>
    <t>Costo total</t>
  </si>
  <si>
    <t>Coût total</t>
  </si>
  <si>
    <t>Local currency (reference only)</t>
  </si>
  <si>
    <t>Национальная валюта (только для справки)</t>
  </si>
  <si>
    <t>Moneda local (solo para referencia)</t>
  </si>
  <si>
    <t>Devise locale (à titre indicatif)</t>
  </si>
  <si>
    <t>&lt;--Enter exchange rate USD to XX (if applicable)</t>
  </si>
  <si>
    <t>&lt;--Введите обменный курс доллар США к XX (если применимо)</t>
  </si>
  <si>
    <t>Ingrese el tipo de cambio de USD a XX (si corresponde)</t>
  </si>
  <si>
    <t>&lt;--Entrer le taux de change USD vers XX (si applicable)</t>
  </si>
  <si>
    <t>In order to add additional reagents and consumables, please select the row above, right-click it and choose "Insert". For any items which are not used, row contents may be deleted</t>
  </si>
  <si>
    <t>Чтобы добавить дополнительные реагенты и расходные материалы, выберите строку выше, нажмите на нее правой кнопкой мыши и выберите "Вставить" (Insert). По любым неиспользуемым позициям содержание строки можно удалить.</t>
  </si>
  <si>
    <t>Para agregar reactivos y consumibles adicionales, seleccione la fila superior, haga clic derecho sobre ella y elija "Insertar". Para cualquier ítem que no se utilice, el contenido de la fila puede eliminarse.</t>
  </si>
  <si>
    <t>Pour ajouter des réactifs et consommables supplémentaires, veuillez sélectionner la ligne ci-dessus, faire un clic droit dessus et choisir « Insérer ». Pour tout article non utilisé, le contenu des lignes peut être supprimé</t>
  </si>
  <si>
    <t>Sequencing and library preparation reagent cost with sample retests:</t>
  </si>
  <si>
    <t>Стоимость реагентов для секвенирования и подготовки библиотеки с учетом повторного тестирования образцов:</t>
  </si>
  <si>
    <t>Costo de los reactivos para secuenciación y preparación de biblioteca con reprocesamiento de muestras:</t>
  </si>
  <si>
    <t>Coût des réactifs pour le séquençage et la préparationde la banque, incluant les retests d'échantillons :</t>
  </si>
  <si>
    <t xml:space="preserve">Incidentals (waste bags, PPE, ethanol, etc.): </t>
  </si>
  <si>
    <t xml:space="preserve">Мелкие расходы (пакеты для отходов, СИЗы, этиловый спирт и т.д.): </t>
  </si>
  <si>
    <t>Costos incidentales (bolsas de residuos, EPP, etanol, etc.):</t>
  </si>
  <si>
    <t xml:space="preserve">Dépenses accessoires (sacs à déchets, EPI, éthanol, etc.) : </t>
  </si>
  <si>
    <t>Annual reagent and consumable cost without sample retests:</t>
  </si>
  <si>
    <t>Годовые расходы на реагенты и расходные материалы без учета повторного тестирования образцов:</t>
  </si>
  <si>
    <t>Costo anual de reactivos y consumibles sin reprocesamiento de muestras:</t>
  </si>
  <si>
    <t>Coût annuel des réactifs et des consommables sans retests d'échantillons :</t>
  </si>
  <si>
    <t>Anticipated annual cost due to sample retests:</t>
  </si>
  <si>
    <t>Прогнозируемые годовые расходы с учетом повторного тестирования образцов:</t>
  </si>
  <si>
    <t>Costo anual anticipado debido al reprocesamiento de muestras:</t>
  </si>
  <si>
    <t>Coût annuel anticipé dû aux retests d'échantillons :</t>
  </si>
  <si>
    <t>Total annual reagent and consumable cost:</t>
  </si>
  <si>
    <t>Общие годовые расходы на реагенты и расходные материалы:</t>
  </si>
  <si>
    <t>Costo anual total de reactivos y consumibles:</t>
  </si>
  <si>
    <t>Coût annuel total des réactifs et des consommables :</t>
  </si>
  <si>
    <t>Total reagent and consumable cost per sample:</t>
  </si>
  <si>
    <t>Общие расходы на реагенты и расходные материалы в расчете на 1 образец:</t>
  </si>
  <si>
    <t>Costo total de reactivos y consumibles por muestra:</t>
  </si>
  <si>
    <t>Coût total des réactifs et consommables par échantillon :</t>
  </si>
  <si>
    <t>Оборудование</t>
  </si>
  <si>
    <t>Equipos</t>
  </si>
  <si>
    <t>Équipement</t>
  </si>
  <si>
    <t>Flag for equipment</t>
  </si>
  <si>
    <t>Примечание к оборудованию</t>
  </si>
  <si>
    <t>Indicador para equipos</t>
  </si>
  <si>
    <t>Signal pour l' équipement acquérir</t>
  </si>
  <si>
    <t>Pasos del flujo de trabajo</t>
  </si>
  <si>
    <t>Наименование оборудования</t>
  </si>
  <si>
    <t>Recommended quantity</t>
  </si>
  <si>
    <t xml:space="preserve">Рекомендуемое количество </t>
  </si>
  <si>
    <t>Cantidad recomendada</t>
  </si>
  <si>
    <t>Quantité recommandée</t>
  </si>
  <si>
    <t>Actual quantity (enter 0 if none)</t>
  </si>
  <si>
    <t>Фактическое количество (введите 0, если отсутствует)</t>
  </si>
  <si>
    <t>Cantidad real (ingrese 0 si no hay)</t>
  </si>
  <si>
    <t>Quantité réelle (entrer 0 si aucune)</t>
  </si>
  <si>
    <t>Стоимость единицы</t>
  </si>
  <si>
    <t>Costo unitario</t>
  </si>
  <si>
    <t>Coût unitaire</t>
  </si>
  <si>
    <t>Рекомендуемый срок службы (количество лет)</t>
  </si>
  <si>
    <t>Vida útil recomendada (años)</t>
  </si>
  <si>
    <t>Durée de vie recommandée (années)</t>
  </si>
  <si>
    <t>Срок эксплуатации оборудования на момент заполнения (новое = 0)</t>
  </si>
  <si>
    <t>Antigüedad del equipo (nuevo = 0)</t>
  </si>
  <si>
    <t>Âge de l'équipement (neuf=0)</t>
  </si>
  <si>
    <t>Depreciation value</t>
  </si>
  <si>
    <t>Стоимость амортизации</t>
  </si>
  <si>
    <t>Valor de depreciación</t>
  </si>
  <si>
    <t>Valeur d'amortissement</t>
  </si>
  <si>
    <t>Maintenance and calibration contract cost per year (default = 15%)</t>
  </si>
  <si>
    <t>Стоимость договора на техническое обслуживание и калибровку в год (по умолчанию=15%)</t>
  </si>
  <si>
    <t>Costo anual de contrato de mantenimiento y calibración (predeterminado = 15%)</t>
  </si>
  <si>
    <t>Coût annuel du contrat de maintenance et de calibration (par défaut = 15 %)</t>
  </si>
  <si>
    <t>Percentage of use for sequencing of selected pathogens</t>
  </si>
  <si>
    <t>Процентная доля использования для секвенирования выбранных патогенов</t>
  </si>
  <si>
    <t>Porcentaje de uso para la secuenciación de patógenos seleccionados</t>
  </si>
  <si>
    <t>Pourcentage d'utilisation pour le séquençage des agents pathogènes sélectionnés</t>
  </si>
  <si>
    <t>Annual equipment depreciation cost</t>
  </si>
  <si>
    <t>Годовые расходы на амортизацию оборудования</t>
  </si>
  <si>
    <t>Costo anual de depreciación del equipo</t>
  </si>
  <si>
    <t>Coût annuel d'amortissement de l'équipement</t>
  </si>
  <si>
    <t>Potential items for purchase to reach recommended equipment quantities</t>
  </si>
  <si>
    <t>Оборудование, которое можно закупить для доведения его количества до рекомендуемого уровня</t>
  </si>
  <si>
    <t>Ítems potenciales a adquirir para alcanzar las cantidades recomendadas  para los equipos</t>
  </si>
  <si>
    <t>Articles potentiels à acheter pour atteindre les quantités d'équipement recommandées</t>
  </si>
  <si>
    <t xml:space="preserve">In order to add additional items, please select the cells of the last row above the whole table, right-click it, choose "Insert" and then "Table rows above". Add additional row for the "Local currency" table on the right as well: select the cell in the same row as you did in the "Equipment" table,  right-click it and choose "Insert" and then "Table rows above". Also add additional row for the "Equipment to buy" table on the right of the "Local currency table": select the cell in the same row as you did in the "Equipment" table,  right-click it and choose "Insert" and then "Table rows above" </t>
  </si>
  <si>
    <t xml:space="preserve">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затем "Строки таблицы сверху" (Table rows above). Также справа добавьте новую строку для таблицы "Национальная валюта": выберите ячейку в той же строке, как вы это делали в таблице "Оборудование", нажмите на нее правой кнопкой мыши и выберите "Вставить" (Insert), затем "Строки таблицы сверху" (Table rows above). Также  добавьте новую строку для таблицы "Оборудование для покупки"  справа от "Таблицы национальной валюты": выберите ячейку в той же строке, как вы это делали в таблице "Оборудование", нажмите на нее правой кнопкой мыши и выберите "Вставить" (Insert) и затем "Строки таблицы сверху" (Table rows above). </t>
  </si>
  <si>
    <t>Para agregar ítems adicionales, seleccione las celdas de la última fila sobre toda la tabla, haga clic derecho, elija "Insertar" y luego "Filas de tabla arriba". Agregue también una fila adicional para la tabla "Moneda local" a la derecha: en la misma fila que seleccionó en la tabla de Equipo, haga clic derecho y elija "Insertar" y luego "Filas de tabla arriba". Asimismo, agregue una fila adicional para la tabla de "Equipo a comprar" a la derecha de la tabla "Moneda local": en la misma fila que seleccionó en la tabla de Equipo, haga clic derecho y elija "Insertar" y luego "Filas de tabla arriba".</t>
  </si>
  <si>
    <t xml:space="preserve">Pour ajouter des éléments supplémentaires, veuillez sélectionner les cellules de la dernière ligne au-dessus de toute la table, faire un clic droit dessus, choisir « Insérer » puis « Lignes du tableau au-dessus ». Ajoutez aussi une ligne supplémentaire pour le tableau « Devise locale » à droite : sélectionnez la case de la même ligne que dans la table « Équipement », cliquez droit dessus et choisissez « Insérer » puis « Lignes du tableau ci-dessus ». Ajoutez également une ligne supplémentaire pour le tableau « Équipement à acquérir » à droite du « tableau des devises locales » : sélectionnez la cellule de la même ligne que dans la table « Équipement », faites un clic droit dessus et choisissez « Insérer » puis « Lignes du tableau au-dessus » </t>
  </si>
  <si>
    <t>Total recommended equipment cost</t>
  </si>
  <si>
    <t>Общая стоимость рекомендуемого оборудования</t>
  </si>
  <si>
    <t>Costo total del equipo recomendado</t>
  </si>
  <si>
    <t>Coût total recommandé de l'équipement</t>
  </si>
  <si>
    <t>Equipment to buy</t>
  </si>
  <si>
    <t>Оборудование для покупки</t>
  </si>
  <si>
    <t>Equipo a comprar</t>
  </si>
  <si>
    <t>Équipement à acquérir</t>
  </si>
  <si>
    <t>Total annual equipment depreciation cost</t>
  </si>
  <si>
    <t>Общие ежегодные расходы на амортизацию оборудования</t>
  </si>
  <si>
    <t>Costo anual total de depreciación del equipo</t>
  </si>
  <si>
    <t>Coût annuel total de l'amortissement de l'équipement</t>
  </si>
  <si>
    <t>Total equipment cost per sample</t>
  </si>
  <si>
    <t>Общие расходы на оборудование в расчете на 1 образец</t>
  </si>
  <si>
    <t>Costo total del equipo por muestra</t>
  </si>
  <si>
    <t>Coût total de l'équipement par échantillon</t>
  </si>
  <si>
    <t>NGS workforce</t>
  </si>
  <si>
    <t>Персонал NGS</t>
  </si>
  <si>
    <t>Fuerza laboral NGS</t>
  </si>
  <si>
    <t>Effectif du NGS</t>
  </si>
  <si>
    <t>Annual salary and benefit costs</t>
  </si>
  <si>
    <t>Годовая зарплата и дополнительные выплаты и пособия</t>
  </si>
  <si>
    <t>Costos anuales de salario y beneficios</t>
  </si>
  <si>
    <t>Coûts annuels des salaires et des avantages sociaux</t>
  </si>
  <si>
    <t>Percentage of time spent on sequencing of selected pathogens</t>
  </si>
  <si>
    <t>Доля времени, затраченного на секвенирование выбранных патогенов</t>
  </si>
  <si>
    <t>Porcentaje de tiempo dedicado a la secuenciación de patógenos seleccionados</t>
  </si>
  <si>
    <t>Pourcentage de temps passé à séquencer les agents pathogènes sélectionnés</t>
  </si>
  <si>
    <t>Годовые расходы на персонал</t>
  </si>
  <si>
    <t>Costo anual de personal</t>
  </si>
  <si>
    <t>Coût annuel du personnel</t>
  </si>
  <si>
    <t>Расходы на персонал в расчете на 1 образец</t>
  </si>
  <si>
    <t>Costo del personal por muestra</t>
  </si>
  <si>
    <t>Coût du personnel par échantillon</t>
  </si>
  <si>
    <t>In order to add additional items, please select the cells of the last row above the whole table, right-click it, choose "Insert" and then "Table rows above". Add additional row for the "Local currency" table on the right as well: select the cell in the same row as you did in the "Personnel and Training"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</si>
  <si>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затем "Строки таблицы сверху" (Table rows above). Также справа добавьте дополнительную строку для таблицы "Национальная валюта" : выберите ячейку в той же строке, как вы делали в таблице "Персонал и обучение",  нажмите на нее правой кнопкой мыши и выберите "Вставить" (Insert), а затем "Строки таблицы сверху" (Table rows above).</t>
  </si>
  <si>
    <t xml:space="preserve">Para agregar ítems adicionales, seleccione las celdas de la última fila sobre toda la tabla, haga clic derecho, elija "Insertar" y luego "Filas de tabla arriba". Agregue también una fila adicional para la tabla "Moneda local" a la derecha: seleccione la celda en la misma fila que en la tabla de "Personal y capacitación", haga clic derecho y elija "Insertar" y luego "Filas de tabla arriba". </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</si>
  <si>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Personnel et Formation », cliquez droit dessus et choisissez « Insérer » puis « Lignes du tableau ci-dessus »</t>
  </si>
  <si>
    <t>Additional admin cost percentage</t>
  </si>
  <si>
    <t>Дополнительные административные расходы (в %)</t>
  </si>
  <si>
    <t>Porcentaje de costo administrativo adicional</t>
  </si>
  <si>
    <t>Pourcentage supplémentaire de coût administratif</t>
  </si>
  <si>
    <t>Комментарии</t>
  </si>
  <si>
    <t>Comentarios</t>
  </si>
  <si>
    <t>Commentaires</t>
  </si>
  <si>
    <t>Annual sequencing/bioinformatics training cost for the selected pathogens</t>
  </si>
  <si>
    <t>Годовые расходы на обучение по секвенированию/биоинформатике по выбранным патогенам</t>
  </si>
  <si>
    <t>Costo anual de capacitación en secuenciación/bioinformática para los patógenos seleccionados</t>
  </si>
  <si>
    <t>Coût annuel de la formation en séquençage/bioinformatique pour les agents pathogènes sélectionnés</t>
  </si>
  <si>
    <t>Training cost per sample</t>
  </si>
  <si>
    <t>Расходы на обучение в расчете на 1 образец</t>
  </si>
  <si>
    <t>Costo de capacitación por muestra</t>
  </si>
  <si>
    <t>Coût de formation par échantillon</t>
  </si>
  <si>
    <t>Total annual personnel cost</t>
  </si>
  <si>
    <t>Общие годовые расходы на персонал</t>
  </si>
  <si>
    <t>Costo anual total de personal</t>
  </si>
  <si>
    <t>Coût annuel total du personnel</t>
  </si>
  <si>
    <t>Total personnel cost per sample</t>
  </si>
  <si>
    <t>Общие расходы на персонал в расчете на 1 образец</t>
  </si>
  <si>
    <t>Costo total del personal por muestra</t>
  </si>
  <si>
    <t>Coût total du personnel par échantillon</t>
  </si>
  <si>
    <t>Facility</t>
  </si>
  <si>
    <t xml:space="preserve">Помещение </t>
  </si>
  <si>
    <t xml:space="preserve">Instalaciones  </t>
  </si>
  <si>
    <t>Infrastructure physique</t>
  </si>
  <si>
    <t>Хозяйственные услуги/ Услуги по эксплуатации помещения</t>
  </si>
  <si>
    <t>Servicios de las instalaciones</t>
  </si>
  <si>
    <t>Entretien des infrastructures physiques</t>
  </si>
  <si>
    <t>Расходы в месяц</t>
  </si>
  <si>
    <t>Costo por mes</t>
  </si>
  <si>
    <t>Coût mensuel</t>
  </si>
  <si>
    <t>Rent</t>
  </si>
  <si>
    <t>Аренда</t>
  </si>
  <si>
    <t>Renta</t>
  </si>
  <si>
    <t>Loyer</t>
  </si>
  <si>
    <t>Building maintenance</t>
  </si>
  <si>
    <t>Техническое обслуживание здания</t>
  </si>
  <si>
    <t>Mantenimiento del edificio</t>
  </si>
  <si>
    <t>Entretien des bâtiments</t>
  </si>
  <si>
    <t>Gas and heating</t>
  </si>
  <si>
    <t>Газ и отопление</t>
  </si>
  <si>
    <t>Gas y calefacción</t>
  </si>
  <si>
    <t>Gaz et chauffage</t>
  </si>
  <si>
    <t>Water</t>
  </si>
  <si>
    <t>Вода</t>
  </si>
  <si>
    <t>Agua</t>
  </si>
  <si>
    <t>Eau</t>
  </si>
  <si>
    <t>Electricity</t>
  </si>
  <si>
    <t>Электричество</t>
  </si>
  <si>
    <t>Electricidad</t>
  </si>
  <si>
    <t>Électricité</t>
  </si>
  <si>
    <t>Internet</t>
  </si>
  <si>
    <t>Интернет</t>
  </si>
  <si>
    <t>Telephone</t>
  </si>
  <si>
    <t>Телефон</t>
  </si>
  <si>
    <t>Teléfono</t>
  </si>
  <si>
    <t>Téléphone</t>
  </si>
  <si>
    <t>Waste management</t>
  </si>
  <si>
    <t>Утилизация отходов</t>
  </si>
  <si>
    <t>Gestión de residuos</t>
  </si>
  <si>
    <t>Gestion des déchets</t>
  </si>
  <si>
    <t>Generator maintenance</t>
  </si>
  <si>
    <t>Техническое обслуживание генератора</t>
  </si>
  <si>
    <t>Mantenimiento del generador</t>
  </si>
  <si>
    <t>Entretien des générateurs</t>
  </si>
  <si>
    <t>Ventilation system maintenance</t>
  </si>
  <si>
    <t>Техническое обслуживание системы вентиляции</t>
  </si>
  <si>
    <t>Mantenimiento del sistema de ventilación</t>
  </si>
  <si>
    <t>Entretien des systèmes de ventilation</t>
  </si>
  <si>
    <t>Generator fuel</t>
  </si>
  <si>
    <t>Топливо для генератора</t>
  </si>
  <si>
    <t>Combustible del generador</t>
  </si>
  <si>
    <t>Combustible pour générateur</t>
  </si>
  <si>
    <t>In order to add additional costs, please select the cells of the last row above the whole table, right-click it, choose "Insert" and then "Table rows above"</t>
  </si>
  <si>
    <t>Чтобы добавить дополнительные затраты, выберите ячейки последней строки сверху всей таблицы, нажмите на нее правой кнопкой мыши, выберите "Вставить" (Insert), а затем "Строки таблицы сверху" (Table rows above).</t>
  </si>
  <si>
    <t xml:space="preserve">Para agregar costos adicionales, seleccione las celdas de la última fila sobre toda la tabla, haga clic derecho, elija "Insertar" y luego "Filas de tabla arriba". </t>
  </si>
  <si>
    <t>Pour ajouter des coûts supplémentaires, veuillez sélectionner les cellules de la dernière ligne au-dessus de toute la table, faire un clic droit dessus, choisir « Insérer » puis « Lignes de tableau au-dessus »</t>
  </si>
  <si>
    <t>Total facility cost/month</t>
  </si>
  <si>
    <t>Общие расходы на помещение в месяц</t>
  </si>
  <si>
    <t>Costo total de las instalaciones/mes</t>
  </si>
  <si>
    <t>Coût total relatifs aux infrastructures physiques par mois</t>
  </si>
  <si>
    <t>Percentage of the facility used for sequencing of selected pathogens</t>
  </si>
  <si>
    <t>Часть помещения, используемого для секвенирования выбранных патогенов (в %)</t>
  </si>
  <si>
    <t>Porcentaje de las instalaciones utilizado para la secuenciación de patógenos seleccionados</t>
  </si>
  <si>
    <t>Pourcentage de l'infrastructure physique utilisée pour le séquençage des pathogènes sélectionnés</t>
  </si>
  <si>
    <t>Annual facility cost</t>
  </si>
  <si>
    <t>Годовые расходы на помещение</t>
  </si>
  <si>
    <t>Costo anual de las instalaciones</t>
  </si>
  <si>
    <t>Coût annuel relatif aux infrastructures physiques</t>
  </si>
  <si>
    <t>Facility cost per sample</t>
  </si>
  <si>
    <t>Расходы на помещение в расчете на 1 образец</t>
  </si>
  <si>
    <t>Costo de las instalaciones por muestra</t>
  </si>
  <si>
    <t>Coût relatif aux infrastructures physiques par échantillon</t>
  </si>
  <si>
    <t>Transport</t>
  </si>
  <si>
    <t>Транспорт</t>
  </si>
  <si>
    <t>Transporte</t>
  </si>
  <si>
    <t>Транспортные услуги</t>
  </si>
  <si>
    <t>Servicios de transporte</t>
  </si>
  <si>
    <t>Services de transport</t>
  </si>
  <si>
    <t>Метод отправки</t>
  </si>
  <si>
    <t>Método de envío</t>
  </si>
  <si>
    <t>Méthode d'expédition</t>
  </si>
  <si>
    <t>Годовые расходы</t>
  </si>
  <si>
    <t>Costo anual</t>
  </si>
  <si>
    <t>Coût annuel</t>
  </si>
  <si>
    <t>Расходы на перевозку в расчете на 1 образец на 1 услугу</t>
  </si>
  <si>
    <t>Costo de transporte por muestra por servicio</t>
  </si>
  <si>
    <t>Coût de transport par échantillon et service</t>
  </si>
  <si>
    <t>In order to add additional items, please select the cells of the last row above the whole table, right-click it, choose "Insert" and then "Table rows above". Add additional row for the "Local currency" table on the right as well: select the cell in the same row as you did in the "Transport"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</si>
  <si>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спрва добавьте новую строку для таблицы "Национальная валюта": выберите ячейку в той же строке, как вы это делали в таблице "Транспорт",  нажмите на нее правой кнопкой мыши и выберите "Вставить" (Insert) и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</si>
  <si>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en la tabla de "Transporte",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</si>
  <si>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Transport », faites un clic droit dessus et choisissez « Insérer » puis « Lignes du tableau ci-dessus »</t>
  </si>
  <si>
    <t>Total transport-related cost</t>
  </si>
  <si>
    <t>Всего транспортных расходов</t>
  </si>
  <si>
    <t>Costo total relacionado con transporte</t>
  </si>
  <si>
    <t>Coût total lié au transport</t>
  </si>
  <si>
    <t>Total annual facility and transportation cost</t>
  </si>
  <si>
    <t>Общие годовые расходы, связанные с помещением и перевозкой</t>
  </si>
  <si>
    <t>Costo anual total de instalaciones y transporte</t>
  </si>
  <si>
    <t>Coût annuel total relatif aux infrastructures physiques et transport</t>
  </si>
  <si>
    <t>Facility and transportation cost per sample</t>
  </si>
  <si>
    <t>Расходы, связанные с помещением и перевозкой, в расчете на 1 образец</t>
  </si>
  <si>
    <t>Costo de instalaciones y transporte por muestra</t>
  </si>
  <si>
    <t>Coût des infrastructures physiques et du transport par échantillon</t>
  </si>
  <si>
    <t>Regional to national reference laboratory</t>
  </si>
  <si>
    <t>С региональной в национальную референс лабораторию</t>
  </si>
  <si>
    <t>Laboratorio de referencia regional a nacional</t>
  </si>
  <si>
    <t>Des laboratoires regionaux au laboratoire de reference national</t>
  </si>
  <si>
    <t>Insurance (if applicable)</t>
  </si>
  <si>
    <t>Страхование (если применимо)</t>
  </si>
  <si>
    <t>Seguro (si corresponde)</t>
  </si>
  <si>
    <t>Assurance (si applicable)</t>
  </si>
  <si>
    <t>Exportation fees (if applicable)</t>
  </si>
  <si>
    <t>Экспортные пошлины (если применимо)</t>
  </si>
  <si>
    <t>Tarifas de exportación (si corresponde)</t>
  </si>
  <si>
    <t>Frais d'exportation (si applicable)</t>
  </si>
  <si>
    <t>Customs clearance fees</t>
  </si>
  <si>
    <t>Сборы за таможенное оформление</t>
  </si>
  <si>
    <t>Gastos de despacho aduanero</t>
  </si>
  <si>
    <t>Frais de dédouanement</t>
  </si>
  <si>
    <t>Courier</t>
  </si>
  <si>
    <t>Курьер</t>
  </si>
  <si>
    <t>Mensajería</t>
  </si>
  <si>
    <t>Bioinformatics cost – by type of bioinformatics equipment or software solution</t>
  </si>
  <si>
    <t>Расходы на биоинформатику - по типу оборудования или программного обеспечения для биоинформатики</t>
  </si>
  <si>
    <t>Costo de bioinformática – por tipo de equipo o solución de software de bioinformática</t>
  </si>
  <si>
    <t>Coût de la bioinformatique – par type d'équipement ou de logiciel en bioinformatique</t>
  </si>
  <si>
    <t>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t>
  </si>
  <si>
    <r>
      <t xml:space="preserve">Заполните секцию в соответствии с выбором биоинформатики на листе Ввод данных: Программное обеспечение (ПО) для облачного анализа или вычисление на внутренних ресурсах. Если был выбран гибридный вариант, заполните обе секции.
Eсли выбрано облачное решение, и эта услуга оказывается </t>
    </r>
    <r>
      <rPr>
        <sz val="11"/>
        <color theme="1"/>
        <rFont val="Calibri"/>
        <family val="2"/>
        <scheme val="minor"/>
      </rPr>
      <t>сторонней организацией, введите общую стоимость приобретения; стоимость в расчете на 1 образец будет рассчитана автоматически.</t>
    </r>
  </si>
  <si>
    <t>Complete la sección de acuerdo con su selección de bioinformática en la hoja de Entrada de datos: basada en la nube o interna. Para la opción híbrida, complete tanto la sección basada en la nube como la interna.
Si selecciona la opción basada en la nube y esta está tercerizada, ingrese el costo total de adquisición; el costo por muestra se calculará automáticamente.</t>
  </si>
  <si>
    <t>Veuillez remplir la section selon votre choix de bioinformatique dans la fiche de saisie : cloud ou en interne. Pour l'hybride, veuillez remplir à la fois les sections cloud et interne. 
Si vous sélectionnez Cloud et que cela est externalisé, veuillez entrer le coût total de l'achat ; Le coût par échantillon sera calculé automatiquement</t>
  </si>
  <si>
    <t xml:space="preserve">Software de análisis basado en la nube </t>
  </si>
  <si>
    <t xml:space="preserve">Software platforms and storage </t>
  </si>
  <si>
    <t>Платформы ПО и хранения данных</t>
  </si>
  <si>
    <t>Plataformas de software y almacenamiento</t>
  </si>
  <si>
    <t xml:space="preserve">Plateformes logicielles et stockage </t>
  </si>
  <si>
    <t>Description </t>
  </si>
  <si>
    <t>Описание</t>
  </si>
  <si>
    <t>Descripción</t>
  </si>
  <si>
    <t>Description</t>
  </si>
  <si>
    <t>Price per unit (USD)</t>
  </si>
  <si>
    <t>Цена за единицу (долл. США)</t>
  </si>
  <si>
    <t>Precio por unidad (USD)</t>
  </si>
  <si>
    <t>Prix par unité (USD)</t>
  </si>
  <si>
    <t>Quantity of units</t>
  </si>
  <si>
    <t>Количество единиц</t>
  </si>
  <si>
    <t>Cantidad de unidades</t>
  </si>
  <si>
    <t>Quantité d'unités</t>
  </si>
  <si>
    <t>Total cost for the selected pathogens</t>
  </si>
  <si>
    <t>Общая стоимость для выбранных патогенов</t>
  </si>
  <si>
    <t>Costo total para los patógenos seleccionados</t>
  </si>
  <si>
    <t>Coût total des agents pathogènes sélectionnés</t>
  </si>
  <si>
    <t>Note</t>
  </si>
  <si>
    <t>Примечание</t>
  </si>
  <si>
    <t>Nota</t>
  </si>
  <si>
    <t>Single user annual licence</t>
  </si>
  <si>
    <t>Однопользовательская годовая лицензия</t>
  </si>
  <si>
    <t>Licencia anual para un solo usuario</t>
  </si>
  <si>
    <t>Licence annuelle à usage unique</t>
  </si>
  <si>
    <t>For added storage beyond 1 TB over 1 year. If this is utilized, enter 0.36 as Price (USD)</t>
  </si>
  <si>
    <t>Для дополнительного хранения сверх 1 ТВ за 1 год. Если это используется, введите 0,36 в графе Цена (долл. США).</t>
  </si>
  <si>
    <t>Para almacenamiento adicional más allá de 1 TB durante 1 año. Si se utiliza, ingrese 0.36 como Precio (USD).</t>
  </si>
  <si>
    <t>Pour un stockage supplémentaire au-delà de 1 To sur 1 an. Si cela est utilisé, entrez 0,36 comme prix (USD)</t>
  </si>
  <si>
    <t>Computing and storage cost. If this is utilized, enter 0.5 (SARS-CoV-2 analysis)</t>
  </si>
  <si>
    <t>Стоимость вычисления и хранения. Если это используется, то введите 0,5 (анализ SARS-CoV-2).</t>
  </si>
  <si>
    <t>Costo de computación y almacenamiento. Si se utiliza, ingrese 0.5 (análisis de SARS-CoV-2)</t>
  </si>
  <si>
    <t>Coût du traitement des données et de stockage. Si cela est utilisé, il faut entrer 0,5 (analyse SARS-CoV-2)</t>
  </si>
  <si>
    <t>Software plus computational</t>
  </si>
  <si>
    <t>Программное обеспечение и вычисления</t>
  </si>
  <si>
    <t>Software más computacional</t>
  </si>
  <si>
    <t>Logiciel plus le traitement des données</t>
  </si>
  <si>
    <t>External HDD – 1TB for storage</t>
  </si>
  <si>
    <t>Внешний HDD - 1 TB для хранения</t>
  </si>
  <si>
    <t>Disco duro externo – 1 TB para almacenamiento</t>
  </si>
  <si>
    <t>Disque dur externe – 1 To pour le stockage</t>
  </si>
  <si>
    <t xml:space="preserve">If outsourced, enter total fee in Price (USD) column and enter Quantity as 1 </t>
  </si>
  <si>
    <r>
      <t xml:space="preserve">В случае привлечения </t>
    </r>
    <r>
      <rPr>
        <sz val="11"/>
        <color theme="1"/>
        <rFont val="Calibri"/>
        <family val="2"/>
        <scheme val="minor"/>
      </rPr>
      <t xml:space="preserve">сторонней организации введите общую сумму расходов в графе Цена (долл. США) и введите Количество = 1 </t>
    </r>
  </si>
  <si>
    <t>Si se terceriza, ingrese el costo total en la columna Precio (USD) y coloque la Cantidad como 1</t>
  </si>
  <si>
    <t xml:space="preserve">Si externalisé, entrez les frais totaux dans la colonne Prix (USD) et entrez la quantité comme 1 </t>
  </si>
  <si>
    <t>Up to 1 TB storage is free and COVID Lineage App is free</t>
  </si>
  <si>
    <t>Хранение в объеме до 1 ТВ бесплатно, приложение COVID Lineage бесплатно</t>
  </si>
  <si>
    <t>Hasta 1 TB de almacenamiento es gratuito y la aplicación COVID Lineage es gratuita.</t>
  </si>
  <si>
    <t>Le stockage jusqu'à 1 To est gratuit et l'application COVID Lineage est gratuite</t>
  </si>
  <si>
    <t>In order to add additional items, please select the cells of the last row above the whole table, right-click it, choose "Insert" and then "Table rows above". Add additional row for the "Local currency" table on the right as well: select the cell in the same row as you did in the "Cloud-based analysis software"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</si>
  <si>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а затем "Строки таблицы сверху" (Table rows above). Также справа добавьте дополнительную строку для таблицы "Национальная валюта": выберите ячейку в той же строке, как вы это делали в таблице "Программа облачного анализа", нажмите на нее правой кнопкой и выберите "Вставить" (Insert),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</si>
  <si>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seleccionó en la tabla "Software de análisis en la nube",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</si>
  <si>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cellule dans la même ligne que dans le tableau « Logiciel d'analyse basé sur le cloud », cliquez droit dessus et choisissez « Insérer » puis « Lignes du tableau ci-dessus »</t>
  </si>
  <si>
    <t>Total purchase cost</t>
  </si>
  <si>
    <t>Общая стоимость покупки</t>
  </si>
  <si>
    <t>Costo total de compra</t>
  </si>
  <si>
    <t>Coût total de l'achat</t>
  </si>
  <si>
    <t>Total cost per sample</t>
  </si>
  <si>
    <t>Общая стоимость из расчета на 1 образец</t>
  </si>
  <si>
    <t>Costo total por muestra</t>
  </si>
  <si>
    <t>Coût total par échantillon</t>
  </si>
  <si>
    <t>Вычисление на внутренних ресурсах</t>
  </si>
  <si>
    <t>Computación interna</t>
  </si>
  <si>
    <t>Informatique interne</t>
  </si>
  <si>
    <t>Component </t>
  </si>
  <si>
    <t>Компонент</t>
  </si>
  <si>
    <t>Componente</t>
  </si>
  <si>
    <t>Composant</t>
  </si>
  <si>
    <t xml:space="preserve"># lifetime years </t>
  </si>
  <si>
    <t>Кол-во лет срока службы</t>
  </si>
  <si>
    <t># años de vida útil</t>
  </si>
  <si>
    <t xml:space="preserve"># Années de vie </t>
  </si>
  <si>
    <t>Depreciation value / year</t>
  </si>
  <si>
    <t>Стоимость амортизации в год</t>
  </si>
  <si>
    <t>Valor de depreciación / año</t>
  </si>
  <si>
    <t>Valeur d'amortissement / année</t>
  </si>
  <si>
    <t>High-processing server</t>
  </si>
  <si>
    <t>Сервер с высокой вычислительной мощностью</t>
  </si>
  <si>
    <t>Servidor de alto procesamiento</t>
  </si>
  <si>
    <t>Serveur à haute résolution</t>
  </si>
  <si>
    <t>Server for bioinformatic storage and processing</t>
  </si>
  <si>
    <t>Сервер для хранения и обработки данных биоинформатики</t>
  </si>
  <si>
    <t>Servidor para almacenamiento y procesamiento bioinformático</t>
  </si>
  <si>
    <t>Serveur pour le stockage et le traitement bioinformatique</t>
  </si>
  <si>
    <t>HPE DL380 Gen10 8SFF CTO server (server chassis)</t>
  </si>
  <si>
    <t>Сервер HPE DL380 Gen10 8SFF CTO (серверное шасси)</t>
  </si>
  <si>
    <t>Servidor HPE DL380 Gen10 8SFF CTO (chasis de servidor)</t>
  </si>
  <si>
    <t>Serveur CTO HPE DL380 Gen10 8SFF (châssis serveur)</t>
  </si>
  <si>
    <t>Intel Xeon-Gold 6234 (3.3GHz/8-core/130W) FIO processor kit for HPE ProLiant DL380 Gen10 </t>
  </si>
  <si>
    <t>Комплект процессора Intel Xeon-Gold 6234 (3.3GHz/8-core/130W) FIO для HPE ProLiant DL380 Gen10 </t>
  </si>
  <si>
    <t>Kit de procesador Intel Xeon-Gold 6234 (3.3 GHz/8 núcleos/130 W) FIO para HPE ProLiant DL380 Gen10</t>
  </si>
  <si>
    <t>Kit processeur FIO Intel Xeon-Gold 6234 (3,3 GHz/8 cœurs/130 W) pour HPE ProLiant DL380 Gen10</t>
  </si>
  <si>
    <t>HPE 32GB (1x32GB) Dual Rank x4 DDR4-2933 CAS-21-21-21 registered smart memory kit </t>
  </si>
  <si>
    <t>Комплект модуля интеллектуальной памяти HPE 32GB (1x32GB) Dual Rank x4 DDR4-2933 CAS-21-21-21  </t>
  </si>
  <si>
    <t>Kit de memoria inteligente registrada HPE 32 GB (1x32 GB) Dual Rank x4 DDR4-2933 CAS-21-21-21</t>
  </si>
  <si>
    <t>Kit mémoire intelligente enregistré HPE 32GB (1x32GB) Dual Rank x4 DDR4-2933 CAS-21-21-21</t>
  </si>
  <si>
    <t>HPE NS204i-p x2 Lanes NVMe PCIe3 x8 OS Boot Device (boot drives – solid state storage)</t>
  </si>
  <si>
    <t>Контроллер HPE NS204i-p x2 Lanes NVMe PCIe3 x8 OS Boot Device (загрузочное устройство - твердотельное накопительное устройство)</t>
  </si>
  <si>
    <t>HPE NS204i-p x2 Lanes NVMe PCIe3 x8 Dispositivo de arranque del SO (unidades de arranque – almacenamiento de estado sólido)</t>
  </si>
  <si>
    <t>HPE NS204i-p x2 Lanes NVMe PCIe3 x8 OS Boot Device (disques de démarrage – stockage SSD)</t>
  </si>
  <si>
    <t>NVIDIA A100 40GB PCIe computational accelerator for HPE  (GPU)</t>
  </si>
  <si>
    <t>NVIDIA A100 40GB PCIe вычислительный акселератор для HPE  (GPU)</t>
  </si>
  <si>
    <t>NVIDIA A100 40GB PCIe acelerador computacional para HPE (GPU)</t>
  </si>
  <si>
    <t>Accélérateur informatique PCIe NVIDIA A100 40GB pour HPE (GPU)</t>
  </si>
  <si>
    <t>HPE Smart Array P408i-a SR Gen10 (8 internal lanes/2GB cache) 12G SAS modular controller </t>
  </si>
  <si>
    <t>HPE Smart Array P408i-a SR Gen10 (8 внутренних линий/2GB кэш-памяти) 12G SAS модульный контроллер</t>
  </si>
  <si>
    <t>HPE Smart Array P408i-a SR Gen10 (8 carriles internos/2GB caché) controlador modular 12G SAS</t>
  </si>
  <si>
    <t>HPE Smart Array P408i-a SR Gen10 (8 voies internes/2 Go de cache) contrôleur modulaire SAS 12G</t>
  </si>
  <si>
    <t>HPE DL Gen10 x16/x16 GPU riser kit </t>
  </si>
  <si>
    <t xml:space="preserve">Райзер HPE DL Gen10 x16/x16 GPU </t>
  </si>
  <si>
    <t>Kit elevador HPE DL Gen10 x16/x16 GPU</t>
  </si>
  <si>
    <t>HPE DL Gen10 x16/x16 GPU Riser Kit</t>
  </si>
  <si>
    <t>HPE 96W Smart Storage lithium-ion battery with 145mm cable kit (storage battery)</t>
  </si>
  <si>
    <t>Комплект HPE 96W Smart Storage на ионно-литиевой батарее с кабелем 145мм (аккумулятор)</t>
  </si>
  <si>
    <t>Batería de ion-litio HPE Smart Storage 96W con kit de cable de 145mm (batería de almacenamiento)</t>
  </si>
  <si>
    <t>Batterie lithium-ion HPE Smart Storage 96W avec kit câble de 145 mm (batterie de stockage)</t>
  </si>
  <si>
    <t>HPE ethernet 10Gb 2-port FLR-SFP+ BCM57414 adapter (networking)</t>
  </si>
  <si>
    <t>Адаптер HPE ethernet 10Gb 2-port FLR-SFP+ BCM57414  (работа в сети)</t>
  </si>
  <si>
    <t>Adaptador HPE ethernet 10Gb 2-puertos FLR-SFP+ BCM57414 (redes)</t>
  </si>
  <si>
    <t>Adaptateur HPE Ethernet 10 Go 2 ports FLR-SFP+ BCM57414 (réseau)</t>
  </si>
  <si>
    <t>HPE BladeSystem c-Class 10Gb SFP+ SR transceiver (networking)</t>
  </si>
  <si>
    <t>HPE BladeSystem c-Class 10Gb SFP+ SR приемопередатчик (работа в сети)</t>
  </si>
  <si>
    <t>Transceptor HPE BladeSystem c-Class 10Gb SFP+ SR (redes)</t>
  </si>
  <si>
    <t>Émetteur-récepteur HPE BladeSystem C-Class 10Gb SFP+ SR (réseau)</t>
  </si>
  <si>
    <t>HPE DL38X Gen10 high performance temperature fan kit  (cooling)</t>
  </si>
  <si>
    <t>Комплект высокопроизводительных температурных вентиляторов HPE DL38X Gen10   (охлаждение)</t>
  </si>
  <si>
    <t>Kit de ventilador de alto rendimiento HPE DL38X Gen10 (refrigeración)</t>
  </si>
  <si>
    <t>Kit de ventilateur haute performance HPE DL38X Gen10 (refroidissement)</t>
  </si>
  <si>
    <t>HPE 800W Flex Slot Platinum Hot Plug Low Halogen power supply kit </t>
  </si>
  <si>
    <t>Блок питания HPE 800W Flex Slot Platinum Hot Plug Low Halogen power supply kit </t>
  </si>
  <si>
    <t>Kit de fuente de alimentación HPE 800W Flex Slot Platinum Hot Plug Low Halogen</t>
  </si>
  <si>
    <t>Kit d'alimentation HPE 800W Flex Slot Platinum Hot Plug Low Halogène</t>
  </si>
  <si>
    <t>HPE 2U Large Form Factor Easy Install Rail kit (rack mount)</t>
  </si>
  <si>
    <t>Набор направляющих рельс для сервера HPE 2U Large Form Factor Easy Install Rail Kit (стойка)</t>
  </si>
  <si>
    <t>Kit de rieles de fácil instalación HPE 2U de gran formato (montaje en rack)</t>
  </si>
  <si>
    <t>Kit de rails d'installation facile à grande forme HPE 2U (montage en rack)</t>
  </si>
  <si>
    <t>HPE DL380 Gen10 High Performance Heat Sink kit (cooling)</t>
  </si>
  <si>
    <t>Радиатор HPE DL380 Gen10 High Performance Heat Sink kit (охлаждение)</t>
  </si>
  <si>
    <t>Kit de disipador de calor de alto rendimiento HPE DL380 Gen10 (refrigeración)</t>
  </si>
  <si>
    <t>Kit de dissipateur thermique haute performance HPE DL380 Gen10 (refroidissement)</t>
  </si>
  <si>
    <t>Monitor for bioinformatic analysis</t>
  </si>
  <si>
    <t>Монитор для биоинформатического анализа</t>
  </si>
  <si>
    <t>Monitor para análisis bioinformático</t>
  </si>
  <si>
    <t>Moniteur pour l'analyse bioinformatique</t>
  </si>
  <si>
    <t>Server including maintenance fees</t>
  </si>
  <si>
    <t>Сервер, включая плату за техническое обслуживание</t>
  </si>
  <si>
    <t>Servidor incluyendo tarifas de mantenimiento</t>
  </si>
  <si>
    <t>Serveur incluant les frais de maintenance</t>
  </si>
  <si>
    <t>Monitor</t>
  </si>
  <si>
    <t>Монитор</t>
  </si>
  <si>
    <t>Moniteur</t>
  </si>
  <si>
    <t>Server maintenance</t>
  </si>
  <si>
    <t>Техническое обслуживание сервера</t>
  </si>
  <si>
    <t>Mantenimiento del servidor</t>
  </si>
  <si>
    <t>Maintenance des serveurs</t>
  </si>
  <si>
    <t>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high throughput"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</si>
  <si>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дополнительную строку для таблицы "Национальная валюта": выберите ячейку в той же строке, как вы это делали для таблицы "Собственное вычисление - высокая пропускная способность",  нажмите на нее правой кнопкой мыши и выберите "Вставить", а затем "Строки таблицы сверху".</t>
  </si>
  <si>
    <t>Para agregar ítems adicionales, selecciona las celdas de la última fila sobre toda la tabla, haz clic derecho, elige "Insertar" y luego "Filas de tabla encima".
Agrega también una fila adicional para la tabla de "Moneda local" a la derecha: selecciona la celda en la misma fila que en la tabla de "Computación interna – alto rendimiento", haz clic derecho y elige "Insertar" y luego "Filas de tabla encima".</t>
  </si>
  <si>
    <t>Pour ajouter des éléments supplémentaires, veuillez sélectionner les cellules de la dernière ligne au-dessus de toute la table, faire un clic droit dessus, choisir « Insérer » puis « Lignes du tableau au-dessus ». Ajoutez une ligne supplémentaire pour le tableau «Devise locale » à droite : sélectionnez la cellule de la même ligne que dans le tableau « Informatique interne – haut débit », cliquez droit dessus et choisissez « Insérer » puis « Lignes du tableau au-dessus »</t>
  </si>
  <si>
    <t xml:space="preserve">Depreciation cost </t>
  </si>
  <si>
    <t>Costo de depreciación</t>
  </si>
  <si>
    <t xml:space="preserve">Coût d'amortissement </t>
  </si>
  <si>
    <t>Вычисление на внутренних ресурсах - низкая/средняя пропускная способность</t>
  </si>
  <si>
    <t xml:space="preserve">Computación interna - rendimiento bajo/medio </t>
  </si>
  <si>
    <t>Low/mid processing workstation</t>
  </si>
  <si>
    <t>Рабочая станция с низкой/средней вычислительной мощностью</t>
  </si>
  <si>
    <t>Estación de trabajo de procesamiento bajo/medio</t>
  </si>
  <si>
    <t>Station de travail à faible ou moyen traitement</t>
  </si>
  <si>
    <t>Computer workstation for bioinformatic analysis processing and storage</t>
  </si>
  <si>
    <t>Компьютерная рабочая станция для обработки и хранения данных биоинформатического анализа</t>
  </si>
  <si>
    <t>Estación de trabajo informática para procesamiento y almacenamiento de análisis bioinformático</t>
  </si>
  <si>
    <t>Station de travail informatique pour l'analyse bioinformatique, le traitement et le stockage</t>
  </si>
  <si>
    <t>Intel Xeon processor 6226R 2.9GHz 2933MHz 16C 150W CPU </t>
  </si>
  <si>
    <t>Процессор Intel Xeon processor 6226R 2.9GHz 2933MHz 16C 150W CPU </t>
  </si>
  <si>
    <t>Procesador Intel Xeon 6226R 2.9GHz 2933MHz 16C 150W CPU</t>
  </si>
  <si>
    <t>Processeur Intel Xeon 6226R 2,9GHz 2933MHz 16C 150W</t>
  </si>
  <si>
    <t>Memory drive – 128GB (4x32GB) DDR4 2933 DIMM ECC </t>
  </si>
  <si>
    <t>Накопитель  - 128GB (4x32GB) DDR4 2933 DIMM ECC </t>
  </si>
  <si>
    <t>Unidad de memoria – 128GB (4x32GB) DDR4 2933 DIMM ECC</t>
  </si>
  <si>
    <t>Disque mémoire – 128 Go (4x32 Go) DDR4 2933 DIMM ECC</t>
  </si>
  <si>
    <t>Storage drives – 8TB 7200RPM SATA 3.5in enterprise </t>
  </si>
  <si>
    <t>Накопитель - 8TB 7200RPM SATA 3.5in Enterprise </t>
  </si>
  <si>
    <t>Unidades de almacenamiento – 8 TB, 7200 RPM, SATA, 3,5 pulgadas, nivel empresarial</t>
  </si>
  <si>
    <t>Disques de stockage – 8 To SATA 3,5 pouces en entreprise 7200 RPM</t>
  </si>
  <si>
    <t>Keyboard USB business slim wired keyboard </t>
  </si>
  <si>
    <t>Клавиатура USB business slim wired keyboard </t>
  </si>
  <si>
    <t>Teclado USB delgado para oficina, con cable</t>
  </si>
  <si>
    <t>Clavier USB filaire professionnel compact</t>
  </si>
  <si>
    <t>HP optical wired mouse USB </t>
  </si>
  <si>
    <t>Мышь HP оптическая проводная USB </t>
  </si>
  <si>
    <t>Mouse HP óptico USB con cable</t>
  </si>
  <si>
    <t>Souris optique filaire USB HP</t>
  </si>
  <si>
    <t>9.5mm DVD-writer 1st ODD </t>
  </si>
  <si>
    <t>Райтер 9,5мм DVD-writer 1st ODD </t>
  </si>
  <si>
    <t>Grabadora de DVD 9.5mm 1st ODD</t>
  </si>
  <si>
    <t>Graveur DVD 9,5mm 1er ODD</t>
  </si>
  <si>
    <t>HP SD card reader </t>
  </si>
  <si>
    <t xml:space="preserve">Кардридер HP SD </t>
  </si>
  <si>
    <t>Lector de tarjetas SD HP</t>
  </si>
  <si>
    <t>Lecteur de carte SD HP</t>
  </si>
  <si>
    <t>HP Z6 G4 memory cooling solution </t>
  </si>
  <si>
    <t>Решение для охлаждения модулей памяти HP Z6 G4 memory cooling solution </t>
  </si>
  <si>
    <t>Solución de refrigeración de memoria HP Z6 G4</t>
  </si>
  <si>
    <t>Solution de refroidissement mémoire HP Z6 G4</t>
  </si>
  <si>
    <t>NAS drive – 64TB for storage</t>
  </si>
  <si>
    <t>Диск NAS drive - 64TB для хранения</t>
  </si>
  <si>
    <t>Unidad NAS – 64TB para almacenamiento</t>
  </si>
  <si>
    <t>Disque NAS – 64 To pour le stockage</t>
  </si>
  <si>
    <t>Внешний HDD - 1TB для хранения</t>
  </si>
  <si>
    <t>Disco duro externo – 1TB para almacenamiento</t>
  </si>
  <si>
    <t>NAS </t>
  </si>
  <si>
    <t>NAS (сетевое устройство хранения памяти)</t>
  </si>
  <si>
    <t>NAS</t>
  </si>
  <si>
    <t>External HDD </t>
  </si>
  <si>
    <t>Внешний HDD</t>
  </si>
  <si>
    <t>Disco duro externo</t>
  </si>
  <si>
    <t>Disque dur externe</t>
  </si>
  <si>
    <t>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low/mid throughput" table, right-click it and choose "Insert" and then "Table rows above"</t>
  </si>
  <si>
    <t>Чтобы добавить дополнительные статьи расходов,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строку для таблицы "Национальная валюта": выберите ячейку в той же строке, как вы это делали в таблице "Собственное вычисление - низкая/средняя пропускная способность", нажмите на нее правой кнопкой мыши, выберите "Вставить" (Insert) и затем "Строки таблицы сверху" (Table rows above).</t>
  </si>
  <si>
    <t>Para agregar ítems adicionales, seleccione las celdas de la última fila sobre toda la tabla, haga clic derecho, elija "Insertar" y luego "Filas de tabla arriba". Agregue también una fila adicional para la tabla "Moneda local" a la derecha: seleccione la celda en la misma fila que eligió en la tabla "Computación interna – baja/media capacidad", haga clic derecho y seleccione "Insertar" y luego "Filas de tabla arriba</t>
  </si>
  <si>
    <t>Pour ajouter des éléments supplémentaires, veuillez sélectionner les cellules de la dernière ligne au-dessus de toute la table, faire un clic droit dessus, choisir « Insérer » puis « Lignes du tableau au-dessus ». Ajoutez une ligne supplémentaire pour le tableau « Devise locale » à droite : sélectionnez la cellule de la même rangée que dans le tableau « Informatique interne – débit faible/moyen », cliquez droit dessus et choisissez « Insérer » puis « Lignes du tableau au-dessus »</t>
  </si>
  <si>
    <t>Гибридный вариант, вычисления на внутренних ресурсах и с использованием ПО для облачного анализа</t>
  </si>
  <si>
    <t>&lt;-- for users with a combination from options above</t>
  </si>
  <si>
    <t>&lt;-- для пользователей с комбинацией вышеприведенных вариантов</t>
  </si>
  <si>
    <t>&lt;-- para usuarios con una combinación de las opciones anteriores</t>
  </si>
  <si>
    <t>&lt;-- pour les utilisateurs avec une combinaison des options ci-dessus</t>
  </si>
  <si>
    <t>Total depreciation cost</t>
  </si>
  <si>
    <t>Общая стоимость амортизации</t>
  </si>
  <si>
    <t>Costo total de depreciación</t>
  </si>
  <si>
    <t>Coût total de l'amortissement</t>
  </si>
  <si>
    <t>Total hybrid purchase cost</t>
  </si>
  <si>
    <t>Общая стоимость покупки гибридного варианта</t>
  </si>
  <si>
    <t>Costo total de compra híbrida</t>
  </si>
  <si>
    <t>Coût total d'achat hybride</t>
  </si>
  <si>
    <t>Total hybrid operational cost (cloud purchase + depreciation)</t>
  </si>
  <si>
    <t>Общая  операционная стоимость гибридного варианта (покупка облачного решения + амортизация)</t>
  </si>
  <si>
    <t>Costo total operativo híbrido (compra en la nube + depreciación)</t>
  </si>
  <si>
    <t>Coût opérationnel hybride total (achat cloud + amortissement)</t>
  </si>
  <si>
    <t>Total hybrid cost per sample</t>
  </si>
  <si>
    <t>Общие расходы на гибридный вариант в расчете на 1 образец</t>
  </si>
  <si>
    <t>Costo total híbrido por muestra</t>
  </si>
  <si>
    <t>Coût total hybride par échantillon</t>
  </si>
  <si>
    <t>Cloud-based</t>
  </si>
  <si>
    <t>Облачное вычисление</t>
  </si>
  <si>
    <t>Basado en la nube</t>
  </si>
  <si>
    <t>Basé sur le cloud</t>
  </si>
  <si>
    <t>In-house</t>
  </si>
  <si>
    <t>Interno</t>
  </si>
  <si>
    <t>En interne</t>
  </si>
  <si>
    <t>Illumina BaseSpace software and cloud storage</t>
  </si>
  <si>
    <t>Программное обеспечение и облачное хранение Illumina BaseSpace</t>
  </si>
  <si>
    <t>Software y almacenamiento en la nube Illumina BaseSpace</t>
  </si>
  <si>
    <t>Logiciels Illumina BaseSpace et stockage cloud</t>
  </si>
  <si>
    <t>Illumina BaseSpace additional cloud storage</t>
  </si>
  <si>
    <t>Дополнительное облачное хранение Illumina BaseSpace</t>
  </si>
  <si>
    <t>Almacenamiento adicional en la nube  Illumina BaseSpace</t>
  </si>
  <si>
    <t>Stockage cloud supplémentaire Illumina BaseSpace</t>
  </si>
  <si>
    <t>Qiagen CLC Genomics Workbench software</t>
  </si>
  <si>
    <t>Программное обеспечение Qiagen CLC Genomics Workbench software</t>
  </si>
  <si>
    <t>Software Qiagen CLC Genomics Workbench</t>
  </si>
  <si>
    <t>Logiciel Qiagen CLC Genomics Workbench</t>
  </si>
  <si>
    <t>Terra.Bio computing and cloud storage</t>
  </si>
  <si>
    <t>Вычисление и облачное хранение от Terra.Bio</t>
  </si>
  <si>
    <t>Computación y almacenamiento en la nube Terra.Bio</t>
  </si>
  <si>
    <t>Informatique et stockage cloud de Terra.Bio</t>
  </si>
  <si>
    <t>NextFlow tower software</t>
  </si>
  <si>
    <t xml:space="preserve">Программное обеспечение NextFlow Tower </t>
  </si>
  <si>
    <t>Software NextFlow Tower</t>
  </si>
  <si>
    <t>Logiciel de tour NextFlow</t>
  </si>
  <si>
    <t>External HDD for storage</t>
  </si>
  <si>
    <t xml:space="preserve">Внешний HDD для хранения </t>
  </si>
  <si>
    <t>Disco duro externo para almacenamiento</t>
  </si>
  <si>
    <t>Disque dur externe pour stockage</t>
  </si>
  <si>
    <t>Outsourced</t>
  </si>
  <si>
    <r>
      <t xml:space="preserve">Аутсорсинг (выполнение </t>
    </r>
    <r>
      <rPr>
        <sz val="11"/>
        <color theme="1"/>
        <rFont val="Calibri"/>
        <family val="2"/>
        <scheme val="minor"/>
      </rPr>
      <t>сторонней организацией)</t>
    </r>
  </si>
  <si>
    <t>Tercerizado</t>
  </si>
  <si>
    <t>Externalisé</t>
  </si>
  <si>
    <t>Деятельность по менеджменту качества</t>
  </si>
  <si>
    <t>Actividad de gestión de calidad</t>
  </si>
  <si>
    <t>Activité de gestion de la qualité</t>
  </si>
  <si>
    <t>Стоимость</t>
  </si>
  <si>
    <t>Costo</t>
  </si>
  <si>
    <t>Coût</t>
  </si>
  <si>
    <t xml:space="preserve">Quantité </t>
  </si>
  <si>
    <t>Годовые расходы на деятельность</t>
  </si>
  <si>
    <t>Costo anual de actividad</t>
  </si>
  <si>
    <t>Coût annuel de l'activité</t>
  </si>
  <si>
    <t>Годовые расходы на деятельность в расчете на 1 образец</t>
  </si>
  <si>
    <t>Costo anual de actividad por muestra</t>
  </si>
  <si>
    <t>Coût annuel de l'activité par échantillon</t>
  </si>
  <si>
    <t>ISO 15189 accreditation</t>
  </si>
  <si>
    <t xml:space="preserve">Аккредитация по ISO 15189 </t>
  </si>
  <si>
    <t>Acreditación ISO 15189</t>
  </si>
  <si>
    <t>Accréditation ISO 15189</t>
  </si>
  <si>
    <t>External quality assessment – PCR</t>
  </si>
  <si>
    <t>Внешняя оценка качества - ПЦР</t>
  </si>
  <si>
    <t>Evaluación externa de calidad – PCR</t>
  </si>
  <si>
    <t>Évaluation externe de la qualité – PCR</t>
  </si>
  <si>
    <t>External quality assessment – NGS</t>
  </si>
  <si>
    <t>Внешняя оценка качества - NGS</t>
  </si>
  <si>
    <t>Evaluación externa de calidad – NGS</t>
  </si>
  <si>
    <t>Évaluation externe de la qualité – NGS</t>
  </si>
  <si>
    <t>Annual BSC certification</t>
  </si>
  <si>
    <t>Ежегодная сертификация БББ</t>
  </si>
  <si>
    <t>Certificación anual de cabina de bioseguridad (BSC)</t>
  </si>
  <si>
    <t>Certification annuelle du (Poste de Sécurité Microbiologique (PSM)</t>
  </si>
  <si>
    <t>Quarterly distribution, including logistics</t>
  </si>
  <si>
    <t>Ежеквартальное распределение, включая логистику</t>
  </si>
  <si>
    <t>Distribución trimestral, incluyendo logística</t>
  </si>
  <si>
    <t>Distribution trimestrielle, y compris la logistique</t>
  </si>
  <si>
    <t>In order to add additional QMS costs, please select the cells of the last row above the whole table, right-click it, choose "Insert" and then "Table rows above". Add additional row for the "Local currency" table on the right as well: select the cell in the same row as you did in the "Quality management" table,  right-click it and choose "Insert" and then "Table rows above"</t>
  </si>
  <si>
    <t>Чтобы добавить дополнительные расходы на СМК, выберите ячейки последней строки сверху всей таблицы, нажмите на нее правой кнопкой мыши, выберите "Вставить" (Insert) и затем "Строки таблицы сверху" (Table rows above). Также справа добавьте строку для таблицы "Национальная валюта": выберите ячейку в той же строке, как вы это делали в таблице "Менеджмент качества", нажмите на нее правой кнопкой мыши, выберите "Вставить" (Insert) и затем "Строки таблицы сверху" (Table rows above).</t>
  </si>
  <si>
    <t>Para agregar costos adicionales de SGC, seleccione las celdas de la última fila sobre toda la tabla, haga clic derecho, elija "Insertar" y luego "Filas de tabla arriba". Agregue también una fila adicional para la tabla "Moneda local" a la derecha: seleccione la celda en la misma fila que en la tabla de "Gestión de calidad", haga clic derecho y seleccione "Insertar" y luego "Filas de tabla arriba".</t>
  </si>
  <si>
    <t>Pour ajouter des coûts supplémentaires de QMS, veuillez sélectionner les cellules de la dernière ligne au-dessus de toute la table, faire un clic droit dessus, choisir « Insérer » puis « Lignes du tableau au-dessus ». Ajoutez une ligne supplémentaire pour le tableau « Devise locale » à droite : sélectionnez la case de la même ligne que dans la table « Gestion de la qualité », cliquez droit dessus et choisissez « Insérer » puis « Lignes du tableau ci-dessus »</t>
  </si>
  <si>
    <t>Total annual QMS cost</t>
  </si>
  <si>
    <t>Общие годовые расходы на СМК</t>
  </si>
  <si>
    <t>Costo anual total del SGC</t>
  </si>
  <si>
    <t>Coût annuel total du SGQ</t>
  </si>
  <si>
    <t>QMS cost per sample</t>
  </si>
  <si>
    <t>Расходы на СМК в расчете на 1 образец</t>
  </si>
  <si>
    <t>Costo del SGC por muestra</t>
  </si>
  <si>
    <t>Coût par échantillon de SGQ</t>
  </si>
  <si>
    <t>Total annual transport-related cost</t>
  </si>
  <si>
    <t>Общие годовые транспортные расходы</t>
  </si>
  <si>
    <t>Costo anual total relacionado al transporte</t>
  </si>
  <si>
    <t>Coût annuel total lié au transport</t>
  </si>
  <si>
    <t>Total transport-related cost per sample</t>
  </si>
  <si>
    <t>Общие транспортные расходы в расчете на 1 образец</t>
  </si>
  <si>
    <t>Costo total relacionado al transporte por muestra</t>
  </si>
  <si>
    <t>Coût total lié au transport, par échantillon</t>
  </si>
  <si>
    <t>Fixed titles and totals</t>
  </si>
  <si>
    <t>Фиксированные заголовки и итоговые значения</t>
  </si>
  <si>
    <t>Títulos y totales fijos</t>
  </si>
  <si>
    <t>Titres fixes et totaux</t>
  </si>
  <si>
    <t>General information and legends</t>
  </si>
  <si>
    <t>Общая информация и условные обозначения</t>
  </si>
  <si>
    <t>Información general y leyendas</t>
  </si>
  <si>
    <t>Information générale et légendes</t>
  </si>
  <si>
    <t>PCR workstation</t>
  </si>
  <si>
    <t>Рабочая станция ПЦР</t>
  </si>
  <si>
    <t>Estación de trabajo de PCR</t>
  </si>
  <si>
    <t>Station de travail PCR</t>
  </si>
  <si>
    <t>Plate magnet (for 96 well plate)</t>
  </si>
  <si>
    <t>Планшетный магнит (для 96-луночного планшета)</t>
  </si>
  <si>
    <t>Imán para placas (para placa de 96 pocillos)</t>
  </si>
  <si>
    <t>Plaque magnétique (pour plaque à 96 puits)</t>
  </si>
  <si>
    <t>Magnetic rack (for 12 1.5–2.0 mL tubes)</t>
  </si>
  <si>
    <t>Магнитная подставка (для 12 пробирок емкостью 1,5 - 2,0 мл )</t>
  </si>
  <si>
    <t>Rack magnético (para 12 tubos de 1.5–2.0 mL)</t>
  </si>
  <si>
    <t>Rack magnétique (pour 12 tubes de 1,5 à 2,0 mL)</t>
  </si>
  <si>
    <t>PCR cooling plates/strip holders</t>
  </si>
  <si>
    <t>Штатив-охладитель для ПЦР планшетов и стрипов</t>
  </si>
  <si>
    <t>Placas/cabezales de enfriamiento para PCR</t>
  </si>
  <si>
    <t>Supports réfrigérants pour plaques et bandes PCR</t>
  </si>
  <si>
    <t>Dry bath (heat block)</t>
  </si>
  <si>
    <t xml:space="preserve">Баня сухого нагрева (термостат) </t>
  </si>
  <si>
    <t>Baño seco (bloque térmico)</t>
  </si>
  <si>
    <t>Bain sec (bloc chauffant)</t>
  </si>
  <si>
    <t>Biosafety cabinet, class II, type A2</t>
  </si>
  <si>
    <t>Бокс биобезопасности, II класса, тип А2</t>
  </si>
  <si>
    <t>Cabina de bioseguridad, clase II, tipo A2</t>
  </si>
  <si>
    <t>Armoire de biosécurité, classe II, type A2</t>
  </si>
  <si>
    <t>Water bath 5L</t>
  </si>
  <si>
    <t>Водяная баня 5л</t>
  </si>
  <si>
    <t>Baño de agua 5L</t>
  </si>
  <si>
    <t>Bain d'eau 5L</t>
  </si>
  <si>
    <t>Autoclave benchtop</t>
  </si>
  <si>
    <t xml:space="preserve">Настольный автоклав </t>
  </si>
  <si>
    <t>Autoclave de sobremesa</t>
  </si>
  <si>
    <t>Autoclave de paillasse</t>
  </si>
  <si>
    <t>Vortex</t>
  </si>
  <si>
    <t>Вортекс</t>
  </si>
  <si>
    <t>Analytical balance</t>
  </si>
  <si>
    <t>Аналитические весы</t>
  </si>
  <si>
    <t>Balanza analítica</t>
  </si>
  <si>
    <t>Balance analytique</t>
  </si>
  <si>
    <t>(-)20  freezer</t>
  </si>
  <si>
    <t xml:space="preserve">Морозильная камера (-)20  </t>
  </si>
  <si>
    <t>Congelador (-20 °C)</t>
  </si>
  <si>
    <t>(-)20 congélateur</t>
  </si>
  <si>
    <t>(-)80  freezer</t>
  </si>
  <si>
    <t xml:space="preserve">Морозильная камера (-)80  </t>
  </si>
  <si>
    <t>Congelador (-80 °C)</t>
  </si>
  <si>
    <t>(-)80 congélateur</t>
  </si>
  <si>
    <t>Refrigerator (4C)</t>
  </si>
  <si>
    <t>Холодильник (4С)</t>
  </si>
  <si>
    <t>Refrigerador (4 °C)</t>
  </si>
  <si>
    <t>Réfrigérateur (4C)</t>
  </si>
  <si>
    <t>Gel electrophoresis apparatus</t>
  </si>
  <si>
    <t>Аппарат для гель-электрофорезa</t>
  </si>
  <si>
    <t>Aparato de electroforesis en gel</t>
  </si>
  <si>
    <t>Appareil d'électrophorèse sur gel</t>
  </si>
  <si>
    <t>Uninterrupted power supply (1500V)</t>
  </si>
  <si>
    <t>Система бесперебойного питания (1500V)</t>
  </si>
  <si>
    <t>Sistema de alimentación ininterrumpida (1500V)</t>
  </si>
  <si>
    <t>Alimentation électrique ininterrompue (1500V)</t>
  </si>
  <si>
    <t xml:space="preserve">Uninterrupted power supply (600V); </t>
  </si>
  <si>
    <t>Система бесперебойного питания (600V)</t>
  </si>
  <si>
    <t>Sistema de alimentación ininterrumpida (600V)</t>
  </si>
  <si>
    <t xml:space="preserve">Alimentation électrique ininterrompue (600 V) ; </t>
  </si>
  <si>
    <t>Thermal cycler (conventional)</t>
  </si>
  <si>
    <t>Термоциклер (обычный)</t>
  </si>
  <si>
    <t>Termociclador (convencional)</t>
  </si>
  <si>
    <t>Thermocycleur (conventionnel)</t>
  </si>
  <si>
    <t>Thermal cycler (realtime)</t>
  </si>
  <si>
    <t>Термоциклер (в реальном времени)</t>
  </si>
  <si>
    <t>Termociclador (tiempo real)</t>
  </si>
  <si>
    <t>Thermocycleur (temps réel)</t>
  </si>
  <si>
    <t>Water purification system</t>
  </si>
  <si>
    <t>Система водоочистки</t>
  </si>
  <si>
    <t>Sistema de purificación de agua</t>
  </si>
  <si>
    <t>Système de purification de l'eau</t>
  </si>
  <si>
    <t>Single channel pipette 100–1000μL</t>
  </si>
  <si>
    <t>Одноканальная пипетка 100-1000 мкл</t>
  </si>
  <si>
    <t>Pipeta monocanal 100–1000 μL</t>
  </si>
  <si>
    <t>Pipette monocanal 100–1000μL</t>
  </si>
  <si>
    <t>Single channel pipette 20–200μL</t>
  </si>
  <si>
    <t>Одноканальная пипетка 20-200 мкл</t>
  </si>
  <si>
    <t>Pipeta monocanal 20–200 μL</t>
  </si>
  <si>
    <t>Pipette monocanal 20–200μL</t>
  </si>
  <si>
    <t>Single channel pipette 2–20μL</t>
  </si>
  <si>
    <t>Одноканальная пипетка 2-20 мкл</t>
  </si>
  <si>
    <t>Pipeta monocanal 2–20 μL</t>
  </si>
  <si>
    <t>Pipette monocanal 2–20μL</t>
  </si>
  <si>
    <t>Single channel pipette 1–10μL</t>
  </si>
  <si>
    <t>Одноканальная пипетка 1-10 мкл</t>
  </si>
  <si>
    <t>Pipeta monocanal 1–10 μL</t>
  </si>
  <si>
    <t>Pipette monocanal 1–10μL</t>
  </si>
  <si>
    <t>Single channel pipette 0.2–2μL</t>
  </si>
  <si>
    <t>Одноканальная пипетка 0,2-2 мкл</t>
  </si>
  <si>
    <t>Pipeta monocanal 0.2–2 μL</t>
  </si>
  <si>
    <t>Pipette monocanal 0,2–2μL</t>
  </si>
  <si>
    <t>8-channel multichannel pipettes 10–100μL</t>
  </si>
  <si>
    <t>8-канальные многоканальные пипетки 10-100 мкл</t>
  </si>
  <si>
    <t>Pipetas multicanal de 8 canales 10–100 μL</t>
  </si>
  <si>
    <t>Pipettes multicanaux à 8 canaux 10–100μL</t>
  </si>
  <si>
    <t>Tube racks</t>
  </si>
  <si>
    <t>Пробирочные штативы</t>
  </si>
  <si>
    <t>Racks para tubos</t>
  </si>
  <si>
    <t>Supports à tubes</t>
  </si>
  <si>
    <t>Cooling block (tube strips)</t>
  </si>
  <si>
    <t>Блок охлаждения (полоски из пробирок)</t>
  </si>
  <si>
    <t>Bloque de enfriamiento (tiras de tubos)</t>
  </si>
  <si>
    <t>Bloc de refroidissement (bandes à tubes)</t>
  </si>
  <si>
    <t>Cooling block (96 well plate)</t>
  </si>
  <si>
    <t>Блок охлаждения (96-луночный планшет)</t>
  </si>
  <si>
    <t>Bloque de enfriamiento (placa de 96 pocillos)</t>
  </si>
  <si>
    <t>Bloc de refroidissement (plaque à 96 puits)</t>
  </si>
  <si>
    <t>Ice bucket</t>
  </si>
  <si>
    <t>Емкость для льда</t>
  </si>
  <si>
    <t>Cubeta de hielo</t>
  </si>
  <si>
    <t>Seau à glace</t>
  </si>
  <si>
    <t>Fluorometer, single assay</t>
  </si>
  <si>
    <t>Флуорометр, единичный анализ</t>
  </si>
  <si>
    <t>Fluorómetro, ensayo único</t>
  </si>
  <si>
    <t>Fluoromètre, test unique</t>
  </si>
  <si>
    <t>Fluorometer, strip tube capable</t>
  </si>
  <si>
    <t xml:space="preserve">Флуорометр, пригодный для пробирок в стрипах </t>
  </si>
  <si>
    <t>Fluorómetro, compatible con tubos en tira</t>
  </si>
  <si>
    <t>Fluorimètre compatible avec tubes en bande</t>
  </si>
  <si>
    <t>Air conditioners</t>
  </si>
  <si>
    <t>Кондиционеры воздуха</t>
  </si>
  <si>
    <t>Aires acondicionados</t>
  </si>
  <si>
    <t>Climatiseurs</t>
  </si>
  <si>
    <t>Temperature logger</t>
  </si>
  <si>
    <t>Термологгер (регистратор температуры)</t>
  </si>
  <si>
    <t>Registrador de temperatura</t>
  </si>
  <si>
    <t>Enregistreur de température</t>
  </si>
  <si>
    <t>Centrifuge (plate)</t>
  </si>
  <si>
    <t>Центрифуга (планшет)</t>
  </si>
  <si>
    <t>Centrífuga (para placas)</t>
  </si>
  <si>
    <t>Centrifugeuse (plaque)</t>
  </si>
  <si>
    <t>Microcentrifuge (can hold  24 tubes of 1.5/2.0 mL)</t>
  </si>
  <si>
    <t>Микроцентрифуга (вместимость - 24 пробирки емкостью 1,5/2,0 мл)</t>
  </si>
  <si>
    <t>Microcentrífuga (capacidad para 24 tubos de 1,5/2,0 mL)</t>
  </si>
  <si>
    <t>Microcentrifugeuse (peut contenir 24 tubes de 1,5/2,0 mL)</t>
  </si>
  <si>
    <t>Centrifuge, refrigerated</t>
  </si>
  <si>
    <t>Центрифуга с охлаждением</t>
  </si>
  <si>
    <t>Centrífuga refrigerada</t>
  </si>
  <si>
    <t>Centrifugeuse, réfrigérée</t>
  </si>
  <si>
    <t>Liquid handler – extraction</t>
  </si>
  <si>
    <t>Автоматизированный жидкостный манипулятор - выделение</t>
  </si>
  <si>
    <t>Manipulador de  líquido – extracción</t>
  </si>
  <si>
    <t>Automate de manipulation de liquides – extraction</t>
  </si>
  <si>
    <t>Liquid handler – PCR</t>
  </si>
  <si>
    <t>Автоматизированный жидкостный манипулятор - ПЦР</t>
  </si>
  <si>
    <t>Manipulador de líquido – PCR</t>
  </si>
  <si>
    <t>Automate de manipulation de liquides – PCR</t>
  </si>
  <si>
    <t>Bioanalyzer/TapeStation</t>
  </si>
  <si>
    <t xml:space="preserve">Биоанализатор/TapeStation </t>
  </si>
  <si>
    <t>Bioanalizador / TapeStation</t>
  </si>
  <si>
    <t>Bioanalyseur/TapeStation</t>
  </si>
  <si>
    <t>Liquid handler – library preparation</t>
  </si>
  <si>
    <t>Автоматизированный жидкостный манипулятор - подготовка библиотеки</t>
  </si>
  <si>
    <t>Manipulador de líquido – preparación de bibliotecas</t>
  </si>
  <si>
    <t>Automate de manipulation de liquides – préparation de la bibliothèque</t>
  </si>
  <si>
    <t>Desktop computer</t>
  </si>
  <si>
    <t>Настольный персональный компьютер</t>
  </si>
  <si>
    <t>Computadora de escritorio</t>
  </si>
  <si>
    <t>Ordinateur de bureau</t>
  </si>
  <si>
    <t>Viral transport media sampling kits with 10 ml tubes and swabs (50-pck)</t>
  </si>
  <si>
    <t>Комплект с пробиркой 10 мл и тампонами для отбора проб с вирусной транспортной средой (50 шт)</t>
  </si>
  <si>
    <t>Kits de muestreo con medio de transporte viral con tubos de 10 mL e hisopos (50 unidades)</t>
  </si>
  <si>
    <t>Kits d'échantillonnage avec milieux de transport viral, tubes de 10 ml et écouvillons (50-pck)</t>
  </si>
  <si>
    <t>Specimen transport packaging (ambient) (150-pck)</t>
  </si>
  <si>
    <t>Упаковка для перевозки образцов (температура окружающей среды) (150 шт)</t>
  </si>
  <si>
    <t>Embalaje para transporte de muestras (temperatura ambiente) (150 unidades)</t>
  </si>
  <si>
    <t>Emballage pour transport d'échantillons (ambiant) (150-pck)</t>
  </si>
  <si>
    <t>Specimen transport packaging (2–8C) (150-pck)</t>
  </si>
  <si>
    <t>Упаковка для перевозки образцов (2-8С) (150 шт)</t>
  </si>
  <si>
    <t>Embalaje para transporte de muestras (2–8 °C) (150 unidades)</t>
  </si>
  <si>
    <t>Emballage pour transport d'échantillons (2–8C) (150-pck)</t>
  </si>
  <si>
    <t>Specimen transport packaging (-20C) (150-pck)</t>
  </si>
  <si>
    <t>Упаковка для перевозки образцов (-20С) (150 шт)</t>
  </si>
  <si>
    <t>Embalaje para transporte de muestras (-20 °C) (150 unidades)</t>
  </si>
  <si>
    <t>Emballage pour transport d'échantillons (-20°C) (150-pck)</t>
  </si>
  <si>
    <t>Cold packs (24-pck)</t>
  </si>
  <si>
    <t>Хладоэлемент (24 шт)</t>
  </si>
  <si>
    <t>Paquetes refrigerantes (24 unidades)</t>
  </si>
  <si>
    <t>Packs réfrigérants (24-pck)</t>
  </si>
  <si>
    <t>PCR plates (10/pack) 96-well reaction plate</t>
  </si>
  <si>
    <t>Планшеты ПЦР (10 в упаковке) 96-луночный реакционный планшет</t>
  </si>
  <si>
    <t>Placas de PCR (10 unidades/paquete) placa de reacción de 96 pocillos</t>
  </si>
  <si>
    <t>Plaques PCR (10/pack) plaque de réaction à 96 puits</t>
  </si>
  <si>
    <t>PCR plate covers adhesive film (1 cover per plate)</t>
  </si>
  <si>
    <t>Клейкая пленка для ПЦР-планшетов (1 пленка на планшет)</t>
  </si>
  <si>
    <t>Cubiertas adhesivas para placas de PCR (1 cubierta por placa)</t>
  </si>
  <si>
    <t>Film adhésif pour plaques PCR (1 couvercle par plaque)</t>
  </si>
  <si>
    <t>Pipette filter tips 10uL (96 tips x 10 racks)</t>
  </si>
  <si>
    <t>Наконечники с фильтром для пипеток 10 мкл (96 наконечников x 10 штативов)</t>
  </si>
  <si>
    <t>Puntas de pipeta con filtro 10 µL (96 puntas x 10 racks)</t>
  </si>
  <si>
    <t>Pointe de pipette filtrante 10 μL (96 embouts x 10 racks)</t>
  </si>
  <si>
    <t>Pipette filter tips 100µL, sterile (pack of 960)</t>
  </si>
  <si>
    <t>Наконечники с фильтром для пипеток 100 мкл, стерильные (в упаковке 960)</t>
  </si>
  <si>
    <t>Puntas de pipeta con filtro 100 µL, estériles (paquete de 960)</t>
  </si>
  <si>
    <t>Pointe de pipette filtrante 100μL, stériles (paquet de 960)</t>
  </si>
  <si>
    <t>Pipette filter tips 200uL  (96 tips x 10 racks)</t>
  </si>
  <si>
    <t>Наконечники с фильтром для пипеток 200 мкл (96 наконечников x 10 штативов)</t>
  </si>
  <si>
    <t>Puntas de pipeta con filtro 200 µL (96 puntas x 10 racks)</t>
  </si>
  <si>
    <t>Pointe de pipette filtrante 200uL (96 embouts x 10 racks)</t>
  </si>
  <si>
    <t>Pipette filter tips 1000uL  (96 tips x 10 racks)</t>
  </si>
  <si>
    <t>Наконечники с фильтром для пипеток 1000 мкл (96 наконечников x 10 штативов)</t>
  </si>
  <si>
    <t>Puntas de pipeta con filtro 1000 µL (96 puntas x 10 racks)</t>
  </si>
  <si>
    <t>Pointe de pipette filtrante 1000uL (96 embouts x 10 racks)</t>
  </si>
  <si>
    <t>0.2mL PCR tubes, thin-walled (1000; strips)</t>
  </si>
  <si>
    <t>Пробирки для ПЦР 0,2 мл, тонкостенные (1000; полоски)</t>
  </si>
  <si>
    <t>Tubos PCR de 0,2 mL, pared delgada (1000; tiras)</t>
  </si>
  <si>
    <t>Tubes PCR de 0,2 mL, paroi fine (1000 ; bandes)</t>
  </si>
  <si>
    <t>1.5mL PCR tubes, LoBind (250)</t>
  </si>
  <si>
    <t>Пробирки для ПЦР 1,5 мл,  LoBind (250)</t>
  </si>
  <si>
    <t>Tubos PCR de 1,5 mL, LoBind (250)</t>
  </si>
  <si>
    <t>Tubes PCR 1,5 mL, LoBind (250)</t>
  </si>
  <si>
    <t>50mL conical tubes (100)</t>
  </si>
  <si>
    <t>Консусообразные пробирки 50 мл (100)</t>
  </si>
  <si>
    <t>Tubos cónicos de 50 mL (100)</t>
  </si>
  <si>
    <t>Tubes coniques de 50 mL (100)</t>
  </si>
  <si>
    <t>Conical centrifuge tubes 15mL (packs of 500)</t>
  </si>
  <si>
    <t>Консусообразные центрифужные пробирки 15 мл (в упаковке 500)</t>
  </si>
  <si>
    <t>Tubos cónicos para centrífuga 15 mL (paquetes de 500)</t>
  </si>
  <si>
    <t>Tubes coniques de  centrifugation 15 mL (packs de 500)</t>
  </si>
  <si>
    <t>Heat sealing film foil (pack of 100)</t>
  </si>
  <si>
    <t>Термосклеювающая пленка (в упаковке 100)</t>
  </si>
  <si>
    <t>Película de sellado por calor (paquete de 100)</t>
  </si>
  <si>
    <t>Film de scellage thermique (pack de 100)</t>
  </si>
  <si>
    <t>PolarSafe aluminum cooling block, 15-well for 1.5/2.0 mL tubes</t>
  </si>
  <si>
    <t>PolarSafe Алюминиевый блок охлаждения, 15 лунок для пробирок емкостью 1,5/2,0 мл</t>
  </si>
  <si>
    <t>Bloque de enfriamiento de aluminio PolarSafe, 15 pocillos para tubos de 1,5/2,0 mL</t>
  </si>
  <si>
    <t>Bloc de refroidissement en aluminium PolarSafe, 15 puits pour tubes de 1,5/2,0 mL</t>
  </si>
  <si>
    <t>RNA extraction kit (250 reactions)</t>
  </si>
  <si>
    <t>Набор для выделения РНК (250 реакций)</t>
  </si>
  <si>
    <t>Kit de extracción de ARN (250 reacciones)</t>
  </si>
  <si>
    <t>Kit d'extraction d'ARN (250 réactions)</t>
  </si>
  <si>
    <t>PCR testing kit (96 reactions)</t>
  </si>
  <si>
    <t>Набор для ПЦР-тестирования (96 реакций)</t>
  </si>
  <si>
    <t>Kit de prueba PCR (96 reacciones)</t>
  </si>
  <si>
    <t>Kit de test PCR (96 réactions)</t>
  </si>
  <si>
    <t>Primers for preamplification (500 rxns)</t>
  </si>
  <si>
    <t>Праймеры для пре-амплификации (500 реакций)</t>
  </si>
  <si>
    <t>Primers (cebadores) para preamplificación (500 reacciones)</t>
  </si>
  <si>
    <t>Amorces pour préamplification (500 rxns)</t>
  </si>
  <si>
    <t>Fluorometer DNA HS assay kit (500)</t>
  </si>
  <si>
    <t>Набор для количественного определения ДНК флуорометром (500)</t>
  </si>
  <si>
    <t>Kit de ensayo DNA HS para fluorómetro (500)</t>
  </si>
  <si>
    <t>Kit de dosage ADN HS pour fluorimètre (500)</t>
  </si>
  <si>
    <t>Fluorometer assay tubes (500)</t>
  </si>
  <si>
    <t>Пробирки для флуорометра (500)</t>
  </si>
  <si>
    <t>Tubos de ensayo para fluorómetro (500)</t>
  </si>
  <si>
    <t>Tubes d’essai pour fluorimètre (500)</t>
  </si>
  <si>
    <t>Gel sizing DNA ladder</t>
  </si>
  <si>
    <t>Маркер ДНК для измерения длины ДНК</t>
  </si>
  <si>
    <t>Escalera de ADN para tamaño en gel (DNA ladder)</t>
  </si>
  <si>
    <t xml:space="preserve">Marqueur de taille ADN pour gel </t>
  </si>
  <si>
    <t>Agarose gels 2% (20 gels)</t>
  </si>
  <si>
    <t>Агарозные гели 2% (20 гелей)</t>
  </si>
  <si>
    <t>Gel de agarosa 2% (20 geles)</t>
  </si>
  <si>
    <t>Gels d'agarose 2 % (20 gels)</t>
  </si>
  <si>
    <t>DNA loading buffer</t>
  </si>
  <si>
    <t>Загрузочный буфер для электрофореза ДНК</t>
  </si>
  <si>
    <t>Búfer de carga de ADN</t>
  </si>
  <si>
    <t>Tampon de chargement d'ADN</t>
  </si>
  <si>
    <t>Reagent reservoir, sterile (pack of 50)</t>
  </si>
  <si>
    <t>Резервуар для реагентов, стерильный (в упаковке 50)</t>
  </si>
  <si>
    <t>Depósito de reactivos, estéril (paquete de 50)</t>
  </si>
  <si>
    <t>Réservoir de réactif, stérile (paquet de 50)</t>
  </si>
  <si>
    <t>NaOH, 1N 100mL</t>
  </si>
  <si>
    <t>NaOH, 1N 100 мл</t>
  </si>
  <si>
    <t>NaOH 1N, 100 mL</t>
  </si>
  <si>
    <t>NaOH, 1N 100 mL</t>
  </si>
  <si>
    <t>Bleach, lab grade (4-6%, 1L)</t>
  </si>
  <si>
    <t>Лабораторная хлорка (4-6%, 1 л)</t>
  </si>
  <si>
    <t>Lejía grado laboratorio (4–6%, 1 L)</t>
  </si>
  <si>
    <t>Javel, qualité laboratoire (4-6 %, 1L)</t>
  </si>
  <si>
    <t>Tween 20, 500 mL</t>
  </si>
  <si>
    <t>Твин-20, 500 мл</t>
  </si>
  <si>
    <t>Ethanol, 99% lab grade, 1L</t>
  </si>
  <si>
    <t>Лабораторный этиловый спирт, 99%, 1 л</t>
  </si>
  <si>
    <t>Etanol 99% grado laboratorio, 1 L</t>
  </si>
  <si>
    <t>Éthanol, 99 % de qualité laboratoire, 1L</t>
  </si>
  <si>
    <t>(Molecular grade) nuclease free H2O</t>
  </si>
  <si>
    <t>Вода свободная от нуклеаз для молекулярной биологии</t>
  </si>
  <si>
    <t>H2O libre de nucleasas (grado molecular)</t>
  </si>
  <si>
    <t>H₂O sans nucléases (qualité moléculaire)</t>
  </si>
  <si>
    <t>Clinical microbiologist</t>
  </si>
  <si>
    <t>Врач-микробиолог</t>
  </si>
  <si>
    <t>Microbiólogo clínico</t>
  </si>
  <si>
    <t>Microbiologiste clinique</t>
  </si>
  <si>
    <t>Laboratory manager</t>
  </si>
  <si>
    <t>Заведующий лабораторией</t>
  </si>
  <si>
    <t>Gerente de laboratorio</t>
  </si>
  <si>
    <t>Responsable de laboratoire</t>
  </si>
  <si>
    <t>Bioinformatician</t>
  </si>
  <si>
    <t>Биоинформатик</t>
  </si>
  <si>
    <t>Bioinformático</t>
  </si>
  <si>
    <t>Bioinformaticien</t>
  </si>
  <si>
    <t>Molecular biologist</t>
  </si>
  <si>
    <t>Молекулярный биолог</t>
  </si>
  <si>
    <t>Biólogo molecular</t>
  </si>
  <si>
    <t>Biologiste moléculaire</t>
  </si>
  <si>
    <t>Laboratory technician</t>
  </si>
  <si>
    <t>Лаборант</t>
  </si>
  <si>
    <t>Técnica de laboratorio</t>
  </si>
  <si>
    <t>Technicien de laboratoire</t>
  </si>
  <si>
    <t>Técnico de laboratorio</t>
  </si>
  <si>
    <t>Receptionist</t>
  </si>
  <si>
    <t>Регистратор</t>
  </si>
  <si>
    <t>Recepcionista</t>
  </si>
  <si>
    <t>Réceptionniste</t>
  </si>
  <si>
    <t>Cleaning personnel</t>
  </si>
  <si>
    <t>Персонал по уборке</t>
  </si>
  <si>
    <t>Personal de limpieza</t>
  </si>
  <si>
    <t>Personnel de nettoyage</t>
  </si>
  <si>
    <t>Cost per BSC, including travel costs for the engineer</t>
  </si>
  <si>
    <t>Расходы в расчете на БББ, включая расходы на проезд инженера</t>
  </si>
  <si>
    <t>Costo por cabina de bioseguridad (BSC), incluyendo gastos de viaje del ingeniero</t>
  </si>
  <si>
    <t>Coût par Poste de Sécurité Microbiologique, incluant les frais de déplacement de l’ingénieur</t>
  </si>
  <si>
    <t>Percentage for sequencing of selected pathogens</t>
  </si>
  <si>
    <t>Доля услуги, связанная с секвенированием выбранных патогенов</t>
  </si>
  <si>
    <t>Porcentaje para la secuenciación de patógenos seleccionados</t>
  </si>
  <si>
    <t>Pourcentage pour le séquençage de pathogènes sélectionnés</t>
  </si>
  <si>
    <t>High reagents cost wastage – consider more samples per run</t>
  </si>
  <si>
    <t>Высокие затраты на реагенты – рассмотрите возможность увеличения количества образцов на одну постановку</t>
  </si>
  <si>
    <t>Alto desperdicio de reactivos – considerar más muestras por corrida</t>
  </si>
  <si>
    <t>Coût élevé des réactifs – envisager davantage d’échantillons par run</t>
  </si>
  <si>
    <t>Enrichment protocol used (Y/N)</t>
  </si>
  <si>
    <t>Использование протокола обогащения (Да/Нет)</t>
  </si>
  <si>
    <t>Protocolo de enriquecimiento utilizado (Sí/No)</t>
  </si>
  <si>
    <t>Protocole d'enrichissement utilisé (Y/N)</t>
  </si>
  <si>
    <t>Exceeds maximum number of samples per run. If you’re sure the value is correct based on instructions for use, proceed. Otherwise, consider higher throughput items or decrease this value.</t>
  </si>
  <si>
    <t>Превышает максимальное количество образцов на постановку. Если вы уверены, что заданное количество верно согласно инструкциям по применению, продолжайте заполнять инструмент. В противном случае рассмотрите элементы с более высокой пропускной способностью или уменьшите данное значение.</t>
  </si>
  <si>
    <t>Se excede el número máximo de muestras por corrida de análisis. Si está seguro de que el valor es correcto según las instrucciones de uso, continúe. De lo contrario, considere equipos de mayor rendimiento o reduzca este valor.</t>
  </si>
  <si>
    <t>Dépasse le nombre maximal d'échantillons par run. Si vous êtes sûr que la valeur est correcte d'après les instructions d'utilisation, poursuivez. Sinon, envisagez des éléments à plus haut débit ou diminuez cette valeur.</t>
  </si>
  <si>
    <t>Average number of samples per run (average loading)</t>
  </si>
  <si>
    <t>Среднее количество образцов на постановку (средняя загрузка секвенатора)</t>
  </si>
  <si>
    <t>Número promedio de muestras por corrida (carga promedio)</t>
  </si>
  <si>
    <t>Nombre moyen d'échantillons par run (charge moyenne)</t>
  </si>
  <si>
    <t>Error, consider a higher throughput platform</t>
  </si>
  <si>
    <t>Ошибка, рассмотрите платформу с более высокой пропускной способностью</t>
  </si>
  <si>
    <t>Error, considerar una plataforma de mayor rendimiento</t>
  </si>
  <si>
    <t>Erreur : envisagez une plateforme à plus haut débit</t>
  </si>
  <si>
    <t>Reagents for sequencing and library preparation – Sequencer 2 (with sample retests)</t>
  </si>
  <si>
    <t>Реагенты для секвенирования и подготовки библиотеки - Секвенатор 2  (вкл. повторное тестирование образцов)</t>
  </si>
  <si>
    <t>Reactivos para secuenciación y preparación de biblioteca – Secuenciador 2 (con reprocesamiento de muestras)</t>
  </si>
  <si>
    <t>Réactifs pour le séquençage et la préparation de la bibliothèque – Séquenceur 2 (avec retests d'échantillons)</t>
  </si>
  <si>
    <t>Average number of controls per run</t>
  </si>
  <si>
    <t>Среднее количество контролей на постановку</t>
  </si>
  <si>
    <t>Número promedio de controles por corrida</t>
  </si>
  <si>
    <t>Nombre moyen de contrôles par run</t>
  </si>
  <si>
    <t>Number of sequencing runs per year (average loading)</t>
  </si>
  <si>
    <t>Количество постановок секвенирования в год (при средней загрузке секвенатора)</t>
  </si>
  <si>
    <t>Número de corridas de secuenciación al año (carga promedio)</t>
  </si>
  <si>
    <t>Nombre de runs de séquençage par an (avec un chargement moyen)</t>
  </si>
  <si>
    <t>% sequencer loading capacity per run (average loading)</t>
  </si>
  <si>
    <t>% нормы загрузки секвенатора на постановку (при средней загрузке секвенатора)</t>
  </si>
  <si>
    <t>% de capacidad de carga del secuenciador por corrida (carga promedio)</t>
  </si>
  <si>
    <t xml:space="preserve"> % de capacité de chargement du séquenceur par run (avec un chargement moyen)</t>
  </si>
  <si>
    <t>Тип патогена</t>
  </si>
  <si>
    <t>Tipo de patógeno</t>
  </si>
  <si>
    <t>Type de pathogène</t>
  </si>
  <si>
    <t>Genome size (in Mb)</t>
  </si>
  <si>
    <t>Размер генома (в Мб)</t>
  </si>
  <si>
    <t>Tamaño del genoma (en Mb)</t>
  </si>
  <si>
    <t>Taille du génome (en Mb)</t>
  </si>
  <si>
    <t>Sequencing coverage</t>
  </si>
  <si>
    <t>Покрытие секвенирования (sequencing coverage)</t>
  </si>
  <si>
    <t>Cobertura de secuenciación</t>
  </si>
  <si>
    <t>Couverture de séquençage</t>
  </si>
  <si>
    <t>Total annual equipment maintenance and calibration cost</t>
  </si>
  <si>
    <t>Общие ежегодные расходы на техническое обслуживание и калибровку оборудования</t>
  </si>
  <si>
    <t>Costo anual total de mantenimiento y calibración de equipos</t>
  </si>
  <si>
    <t>Coût total annuel de maintenance et de calibration des équipements</t>
  </si>
  <si>
    <t>Annual equipment operational cost</t>
  </si>
  <si>
    <t>Ежегодные операционные расходы на оборудование</t>
  </si>
  <si>
    <t>Costo operativo anual de los equipos</t>
  </si>
  <si>
    <t xml:space="preserve">Coût annuel opérationnel des équipements </t>
  </si>
  <si>
    <t>Total annual equipment operational cost</t>
  </si>
  <si>
    <t>Общие ежегодные операционные расходы на оборудование</t>
  </si>
  <si>
    <t>Costo anual total de operación de equipos</t>
  </si>
  <si>
    <t>Coût annuel total opérationnel des équipements</t>
  </si>
  <si>
    <t>Number of sequencing runs per year (maximum loading capacity)</t>
  </si>
  <si>
    <t>Количество постановок секвенирования в год (при максимальной загрузке секвенатора)</t>
  </si>
  <si>
    <t>Número de corridas de secuenciación al año (capacidad máxima de carga)</t>
  </si>
  <si>
    <t>Nombre de runs de séquençage par an (avec une capacité de chargement maximale)</t>
  </si>
  <si>
    <t>Consider higher throughput sequencing items</t>
  </si>
  <si>
    <t>Рассмотрите возможность секвенирования с более высокой пропускной способностью</t>
  </si>
  <si>
    <t>Considerar ítems de secuenciación de mayor rendimiento</t>
  </si>
  <si>
    <t xml:space="preserve">Envisager des éléments de séquençage à plus haut débit </t>
  </si>
  <si>
    <t>Inputs into "Bioinformatics" tab needed to display cost</t>
  </si>
  <si>
    <t>Для отображения стоимости необходимо ввести данные на вкладке «Биоинформатика»</t>
  </si>
  <si>
    <t>Datos de entrada en la pestaña "Bioinformática" necesarios para mostrar el costo</t>
  </si>
  <si>
    <t>Données à saisir dans l’onglet “Bioinformatique” nécessaires pour afficher le coût</t>
  </si>
  <si>
    <t>Inputs into "Personnel and training" tab needed to display cost</t>
  </si>
  <si>
    <t>Для отображения стоимости необходимо ввести данные на вкладке «Персонал и обучение»</t>
  </si>
  <si>
    <t>Datos de entrada en la pestaña "Personal y Capacitación" necesarios para mostrar el costo</t>
  </si>
  <si>
    <t>Données à saisir dans l’onglet “Personnel et formation” nécessaires pour afficher le coût</t>
  </si>
  <si>
    <t>Inputs into "Facility and transport" tab needed to display cost</t>
  </si>
  <si>
    <t>Для отображения стоимости необходимо ввести данные на вкладке «Помещение и транспорт»</t>
  </si>
  <si>
    <t>Datos de entrada en la pestaña "Instalación y Transporte" necesarios para mostrar el costo</t>
  </si>
  <si>
    <t>Données à saisir dans l’onglet “Infrastructure physique et transport” nécessaires pour afficher le coût</t>
  </si>
  <si>
    <t>Dead volume for library preparation handler in % (if used)</t>
  </si>
  <si>
    <t>Мертвый объем для автоматизированного жидкостного манипулятора для подготовки библиотеки в процентах (если используется)</t>
  </si>
  <si>
    <t>Volumen muerto para el manipulador de preparación de biblioteca en % (si se utiliza)</t>
  </si>
  <si>
    <t xml:space="preserve">Volume mort pour le robot de préparation de bibliothèque en % (si utilisé) </t>
  </si>
  <si>
    <t>Maximum number of barcodes available for your library preparation kit (e.g. 16, 24, 96, 384, 768)</t>
  </si>
  <si>
    <t>Максимальное количество штрихкодов, доступных для вашего набора для подготовки библиотеки (например, 16, 24, 96, 384, 768)</t>
  </si>
  <si>
    <t>Número máximo de códigos de barras disponibles para su kit de preparación de biblioteca (por ejemplo, 16, 24, 96, 384, 768)</t>
  </si>
  <si>
    <t>Nombre maximal de codes‑barres disponibles pour votre kit de préparation de bibliothèque (par ex. 16, 24, 96, 384, 768)</t>
  </si>
  <si>
    <t>Maximum output of the flow cell in bytes (e.g. 1.2 GB is 1200000000 b (1.2*10^9))</t>
  </si>
  <si>
    <t>Максимальная производительность проточной ячейки в байтах (например, 1,2 ГБ составляет 1200000000 б (1,2*10^9))</t>
  </si>
  <si>
    <t>Resultado (output) máximo de la celda de flujo en bytes (por ejemplo, 1,2 Gb es 1 200 000 000 b (1,2×10^9))</t>
  </si>
  <si>
    <t>Rendement maximal de la cellule de flux en octets (par exemple 1,2 GB est de 1200000000 b (1,2*10^9))</t>
  </si>
  <si>
    <t>Read length for your sequencing reagent kit (in bp)</t>
  </si>
  <si>
    <t>Длина прочтения (ридов) для вашего набора реагентов для секвенирования (в парах оснований)</t>
  </si>
  <si>
    <t>Longitud de lectura para su kit de reactivos de secuenciación (en bp)</t>
  </si>
  <si>
    <t>Longueur de lecture de votre kit de réactifs de séquençage (en pb)</t>
  </si>
  <si>
    <t>Number of sequencing kit packs needed per one run</t>
  </si>
  <si>
    <t>Количество наборов реагентов для секвенирования, необходимых для одной постановки</t>
  </si>
  <si>
    <t>Número de paquetes de kits de secuenciación necesarios por corrida</t>
  </si>
  <si>
    <t>Nombre de lots de kits de séquençage nécessaires par run</t>
  </si>
  <si>
    <t>Number of barcodes per pack</t>
  </si>
  <si>
    <t>Количество штрихкодов в одном наборе</t>
  </si>
  <si>
    <t>Número de códigos de barras por paquete</t>
  </si>
  <si>
    <t>Nombre de codes-barres par lot</t>
  </si>
  <si>
    <t>Enter required reagent specifications in rows 38–40 below</t>
  </si>
  <si>
    <t>Введите требуемые спецификации реагента в строках 38-40 ниже</t>
  </si>
  <si>
    <t>Ingresar los reactivos requeridos en las filas 38–40 a continuación</t>
  </si>
  <si>
    <t>Saisissez les spécifications des réactifs requises dans les rangées 38 à 40 ci-dessous</t>
  </si>
  <si>
    <t>Enter required reagent specifications in rows 36–37 below</t>
  </si>
  <si>
    <t>Введите требуемые спецификации реагента в строках 36-37 ниже</t>
  </si>
  <si>
    <t>Ingresar los reactivos requeridos en las filas 36–37 a continuación</t>
  </si>
  <si>
    <t>Saisissez les spécifications des réactifs requises dans les rangées 36 à 37 ci-dessous</t>
  </si>
  <si>
    <t>Enter required reagent specifications in row 39 below</t>
  </si>
  <si>
    <t>Введите требуемые спецификации реагента в строке 39 ниже</t>
  </si>
  <si>
    <t>Ingresar los reactivos requeridos en la fila 39 a continuación</t>
  </si>
  <si>
    <t>Saisissez les spécifications du réactif requises à la ligne 39 ci-dessous</t>
  </si>
  <si>
    <t>Секвенатор 1</t>
  </si>
  <si>
    <t>Secuenciador 1</t>
  </si>
  <si>
    <t>Séquenceur 1</t>
  </si>
  <si>
    <t>Sequencer 2</t>
  </si>
  <si>
    <t>Секвенатор 2</t>
  </si>
  <si>
    <t>Secuenciador 2</t>
  </si>
  <si>
    <t>Séquenceur 2</t>
  </si>
  <si>
    <t>Total number of reactions across two sequencers (including retests)</t>
  </si>
  <si>
    <t>Общее количество реакций по обоим секвенаторам (включая повторное тестирование)</t>
  </si>
  <si>
    <t>Número total de reacciones en dos secuenciadores (incluidas los reprocesamientos)</t>
  </si>
  <si>
    <t>Nombre total de réactions sur les deux séquenceurs (y compris les retests)</t>
  </si>
  <si>
    <t>Inputs applied to both sequencing devices</t>
  </si>
  <si>
    <t>Входные данные, применяемые к обоим инструментам секвенирования</t>
  </si>
  <si>
    <t>Datos aplicables a ambos dispositivos de secuenciación</t>
  </si>
  <si>
    <t xml:space="preserve">Données appliquées aux deux dispositifs de séquençage </t>
  </si>
  <si>
    <t>Additional required specifications for selected sequencing and library preparation items</t>
  </si>
  <si>
    <t>Дополнительные требуемые спецификации для отдельных реагентов секвенирования и подготовки библиотеки</t>
  </si>
  <si>
    <t>ESPECIFICACIONES ADICIONALES REQUERIDAS PARA LOS ÍTEMS DE SECUENCIACIÓN Y PREPARACIÓN DE BIBLIOTECA SELECCIONADOS</t>
  </si>
  <si>
    <t xml:space="preserve">Spécifications supplémentaires requises pour les éléments de séquençage et de préparation de bibliothèque sélectionnés </t>
  </si>
  <si>
    <t>Distributed cost – per workflow</t>
  </si>
  <si>
    <t>Распределенная стоимость - на рабочий процесс</t>
  </si>
  <si>
    <t>Costo distribuido – por flujo de trabajo</t>
  </si>
  <si>
    <t>Coût distribué – par flux de travail</t>
  </si>
  <si>
    <t>Both sequencers</t>
  </si>
  <si>
    <t>На оба секвенатора</t>
  </si>
  <si>
    <t>Ambos secuenciadores</t>
  </si>
  <si>
    <t>Les deux séquenceurs</t>
  </si>
  <si>
    <t>Amazon Web Services (AWS)</t>
  </si>
  <si>
    <t>Платформа Amazon Web Services (AWS)</t>
  </si>
  <si>
    <t>Amazon Web Services (AWS) – Servicios de computación en la nube</t>
  </si>
  <si>
    <t>Seqera</t>
  </si>
  <si>
    <t>Платформа Seqera</t>
  </si>
  <si>
    <t>Reference material: ATCC, Zeptometrix, Biohub, NCPV, NCTC, etc.</t>
  </si>
  <si>
    <t>Эталонные материалы: ATCC, Zeptometrix, Biohub, NCPV, NCTC, и т.д.</t>
  </si>
  <si>
    <t>Material de referencia: ATCC, Zeptometrix, Biohub, NCPV, NCTC, etc.</t>
  </si>
  <si>
    <t>Matériel de référence : ATCC, Zeptometrix, Biohub, NCPV, NCTC, etc.</t>
  </si>
  <si>
    <t>Internal quality control material</t>
  </si>
  <si>
    <t>Материалы для внутреннего контроля качества</t>
  </si>
  <si>
    <t>Material de control de calidad interno</t>
  </si>
  <si>
    <t>Matériel de contrôle qualité interne</t>
  </si>
  <si>
    <t>Bioinformatics pipeline validation service (e.g. PHA4GE)</t>
  </si>
  <si>
    <t>Служба валидации биоинформатического конвейера (например, PHA4GE)</t>
  </si>
  <si>
    <t>Servicio de validación de flujo (pipeline) bioinformático  (p. ej., PHA4GE)</t>
  </si>
  <si>
    <t xml:space="preserve">Service de validation de pipeline bioinformatique (ex. PHA4GE) </t>
  </si>
  <si>
    <t>Cost of sequencing for the selected pathogen(-s) and annual throughput per sample by cost category</t>
  </si>
  <si>
    <t>Стоимость секвенирования на образец для выбранного(-ых) патогена(-ов) и годового объема образцов по категории расходов</t>
  </si>
  <si>
    <t>Costo de secuenciación para el/los patógeno(s) seleccionado(s) y rendimiento anual por muestra según categoría de costo</t>
  </si>
  <si>
    <t>Coût du séquençage pour le(s) pathogène(s) sélectionné(s) et débit annuel par échantillon par catégorie de coût</t>
  </si>
  <si>
    <t>Total annual cost for sequencing of the selected pathogen(-s) and throughput by cost category</t>
  </si>
  <si>
    <t>Общая годовая стоимость секвенирования для выбранного(-ых) патогена(-ов) и годового объема образцов по категории расходов</t>
  </si>
  <si>
    <t>Costo anual total de secuenciación del/los patógeno(s) seleccionado(s) y rendimiento por categoría de costo</t>
  </si>
  <si>
    <t>Coût annuel total du séquençage du ou des agents pathogènes sélectionnés et débit par catégorie de coût</t>
  </si>
  <si>
    <t>Cost of sequencing for the selected pathogen(-s) and annual throughput per sample by workflow step</t>
  </si>
  <si>
    <t>Стоимость секвенирования на образец для выбранного(-ых) патогена(-ов) и годового объема образцов по этапам рабочего процесса</t>
  </si>
  <si>
    <t>Costo de secuenciación para el/los patógeno(s) seleccionado(s) y rendimiento anual por muestra según paso del flujo de trabajo</t>
  </si>
  <si>
    <t>Coût du séquençage pour le(s) pathogène(s) sélectionné(s) et le débit annuel par échantillon par étape du flux de travail</t>
  </si>
  <si>
    <t>Total annual cost for sequencing of the selected pathogen(-s) and throughput by workflow step</t>
  </si>
  <si>
    <t>Общая годовая стоимость секвенирования для выбранного(-ых) патогена(-ов) и годового объема образцов по этапам рабочего процесса</t>
  </si>
  <si>
    <t>Costo anual total de secuenciación del/los patógeno(s) seleccionado(s) y rendimiento por paso del flujo de trabajo</t>
  </si>
  <si>
    <t>Coût annuel total du séquençage du ou des agents pathogènes sélectionnés et du débit par étape du flux de travail</t>
  </si>
  <si>
    <t>Enter the genome size in megabases</t>
  </si>
  <si>
    <t>Впишите размер генома в мегабазах</t>
  </si>
  <si>
    <t>Ingresar el tamaño del genoma en megabases</t>
  </si>
  <si>
    <t>Entrez la taille du génome en mégabases</t>
  </si>
  <si>
    <t>Enter the sequencing coverage</t>
  </si>
  <si>
    <t>Впишите покрытие секвенирования (sequencing coverage)</t>
  </si>
  <si>
    <t>Ingresar la cobertura de secuenciación</t>
  </si>
  <si>
    <t>Entrez la couverture de séquençage</t>
  </si>
  <si>
    <t>The maximum number of samples per flow cell might be different. Please check the instruction for use for the selected kit</t>
  </si>
  <si>
    <t>Максимальное количество образцов на проточную ячейку может отличаться от указанного. Пожалуйста, проверьте инструкцию для выбранного набора</t>
  </si>
  <si>
    <t>El número máximo de muestras por celda de flujo podría ser diferente. Por favor, consulte las instrucciones de uso del kit seleccionado</t>
  </si>
  <si>
    <t>Le nombre maximal d’échantillons par cellule de flux peut varier. Veuillez consulter les instructions d’utilisation du kit sélectionné</t>
  </si>
  <si>
    <t>Enter number of reads per sample in row 41 below. No need to enter genome size</t>
  </si>
  <si>
    <t xml:space="preserve">Введите количество прочтений на образец в строке 41 ниже. Вводить размер генома не нужно. </t>
  </si>
  <si>
    <t>Ingrese el número de lecturas por muestra en la fila 41 a continuación. No es necesario ingresar el tamaño del genoma</t>
  </si>
  <si>
    <t>Entrez le nombre de lectures par échantillon à la ligne 41 ci-dessous. Pas besoin d'entrer la taille du génome</t>
  </si>
  <si>
    <t>Equipment operational cost</t>
  </si>
  <si>
    <t>Операционные расходы на оборудование</t>
  </si>
  <si>
    <t>Costo operativo del equipo</t>
  </si>
  <si>
    <t>Coût opérationnel de l'équipement</t>
  </si>
  <si>
    <t>Enrichment</t>
  </si>
  <si>
    <t>Обогащение</t>
  </si>
  <si>
    <t>Enriquecimiento</t>
  </si>
  <si>
    <t>Enrichissement</t>
  </si>
  <si>
    <t>Enter the name of enrichment kit for platform 1 here</t>
  </si>
  <si>
    <t>Впишите здесь название набора для обогащения для платформы 1</t>
  </si>
  <si>
    <t>Ingresar el nombre del kit de enriquecimiento para la plataforma 1 aquí</t>
  </si>
  <si>
    <t>Saisissez ici le nom du kit d’enrichissement pour la plateforme 1</t>
  </si>
  <si>
    <t>Enter the name of enrichment kit for platform 2 here</t>
  </si>
  <si>
    <t>Впишите здесь название набора для обогащения для платформы 2</t>
  </si>
  <si>
    <t>Ingresar el nombre del kit de enriquecimiento para la plataforma 2 aquí</t>
  </si>
  <si>
    <t>aisissez ici le nom du kit d’enrichissement pour la plateforme 2</t>
  </si>
  <si>
    <t>Enter the name of the sequencing reagent for platform 1 here</t>
  </si>
  <si>
    <t>Впишите здесь название реагента для секвенирования для платформы 1</t>
  </si>
  <si>
    <t>Ingrese el nombre del reactivo de secuenciación para la plataforma 1 aquí</t>
  </si>
  <si>
    <t>Saisissez ici le nom du réactif de séquençage pour la plateforme 1</t>
  </si>
  <si>
    <t>Enter the name of the sequencing reagent for platform 2 here</t>
  </si>
  <si>
    <t>Впишите здесь название реагента для секвенирования для платформы 2</t>
  </si>
  <si>
    <t>Ingrese el nombre del reactivo de secuenciación para la plataforma 2 aquí</t>
  </si>
  <si>
    <t>Saisissez ici le nom du réactif de séquençage pour la plateforme 2</t>
  </si>
  <si>
    <t>Enter the name of the library preparation kit for platform 1 here</t>
  </si>
  <si>
    <t>Впишите здесь название набора для подготовки библиотеки для платформы 1</t>
  </si>
  <si>
    <t>Ingrese el nombre del kit de preparación de biblioteca para la plataforma 1 aquí</t>
  </si>
  <si>
    <t>Saisissez ici le nom du kit de préparation de bibliothèque pour la plateforme 1</t>
  </si>
  <si>
    <t>Enter the name of the library preparation kit for platform 2 here</t>
  </si>
  <si>
    <t>Впишите здесь название набора для подготовки библиотеки для платформы 2</t>
  </si>
  <si>
    <t>Ingrese el nombre del kit de preparación de biblioteca para la plataforma 2 aquí</t>
  </si>
  <si>
    <t>Saisissez ici le nom du kit de préparation de bibliothèque pour la plateforme 2</t>
  </si>
  <si>
    <t>Choose library preparation kit in the Data entry and results sheet</t>
  </si>
  <si>
    <t>Выберите набор для подготовки библиотеки в листе Ввода данных и результатов</t>
  </si>
  <si>
    <t>Elegir kit de preparación de biblioteca en la hoja de Entrada de Datos y Resultados</t>
  </si>
  <si>
    <t>Choisissez le kit de préparation à la bibliothèque dans la fiche de saisie des données et de résultats</t>
  </si>
  <si>
    <t>Enter the name of the sequencing instrument 1 here</t>
  </si>
  <si>
    <t>Впишите здесь название инструмента для секвенирования 1</t>
  </si>
  <si>
    <t>Ingresar el nombre del instrumento de secuenciación 1 aquí</t>
  </si>
  <si>
    <t>Saisissez ici le nom de l'instrument de séquençage 1</t>
  </si>
  <si>
    <t>Enter the name of the sequencing instrument 2 here</t>
  </si>
  <si>
    <t>Впишите здесь название инструмента для секвенирования 2</t>
  </si>
  <si>
    <t>Ingresar el nombre del instrumento de secuenciación 2 aquí</t>
  </si>
  <si>
    <t>Saisissez ici le nom de l'instrument de séquençage 2</t>
  </si>
  <si>
    <t>Enter number of single reads per sample as recommended by the manufacturer (e.g. if 1M reads, enter 1000000)</t>
  </si>
  <si>
    <t>Введите количество одиночных прочтений (ридов) на образец, рекомендованное производителем (например, если количество ридов 1 млн, введите 1000000)</t>
  </si>
  <si>
    <t>Introduzca el número de lecturas únicas por muestra según lo recomendado por el fabricante (por ejemplo, si son 1 millón de lecturas, introduzca 1000000)</t>
  </si>
  <si>
    <t>Saisissez le nombre de lectures individuelles par échantillon recommandé par le fabricant (par exemple, si 1M lit, saisissez 1000000)</t>
  </si>
  <si>
    <t>Laboratory information management system (LIMS)</t>
  </si>
  <si>
    <t>Лабораторная информационная система (ЛИС)</t>
  </si>
  <si>
    <t xml:space="preserve">Sistema de gestión de información de laboratorio (LIMS) </t>
  </si>
  <si>
    <t>Système de gestion de l'information de laboratoire (LIMS)</t>
  </si>
  <si>
    <t>Results (in USD)</t>
  </si>
  <si>
    <t>Результаты (в долларах США)</t>
  </si>
  <si>
    <t>Resultados (en USD)</t>
  </si>
  <si>
    <t>Résultats (en USD)</t>
  </si>
  <si>
    <t>Price set to 0 – item included as bundle in kit above</t>
  </si>
  <si>
    <t>Цена установлена ​​на 0 — реагент включен в комплект, указанный выше.</t>
  </si>
  <si>
    <t>Precio establecido en 0 – artículo incluido como parte del kit mencionado arriba</t>
  </si>
  <si>
    <t>Prix fixé à 0 – élément inclus dans le kit ci‑dessus</t>
  </si>
  <si>
    <t>No need to enter sequencing coverage</t>
  </si>
  <si>
    <t>Не нужно вводить покрытие секвенирования</t>
  </si>
  <si>
    <t>No es necesario ingresar la cobertura de secuenciación</t>
  </si>
  <si>
    <t>Pas besoin de saisir la couverture de séquençage</t>
  </si>
  <si>
    <t>Buffer capacity accounting for off-target reads (unusable reads) (in %)</t>
  </si>
  <si>
    <t>Буфер, учитывающий нецелевые прочтения (непригодные прочтения) (в %)</t>
  </si>
  <si>
    <t>Capacidad del búfer que tiene en cuenta las lecturas fuera de objetivo (lecturas inutilizables) (en %)</t>
  </si>
  <si>
    <t>Capacité de réserve tenant compte des lectures hors cible (lectures inutilisables) (en %)</t>
  </si>
  <si>
    <t>Other reagents cost with sample retests:</t>
  </si>
  <si>
    <t>Стоимость других реагентов с учетом повторного тестирования образцов:</t>
  </si>
  <si>
    <t>Costo de otros reactivos con reprocesamiento de muestras:</t>
  </si>
  <si>
    <t xml:space="preserve"> Coût des autres réactifs, incluant les retests d'échantillons:</t>
  </si>
  <si>
    <t>Total number of samples sequenced across both sequencers</t>
  </si>
  <si>
    <t>Общее количество секенированных образцов по обоим секвенаторам</t>
  </si>
  <si>
    <t>Número total de muestras secuenciadas en ambos secuenciadores</t>
  </si>
  <si>
    <t>Nombre total d’échantillons séquencés sur les deux séquenceurs</t>
  </si>
  <si>
    <t>A cell that had contained a formula, which was deleted by the user</t>
  </si>
  <si>
    <t>Ячейка, которая содержала формулу, но была удалена пользователем.</t>
  </si>
  <si>
    <t>Una celda que contenía una fórmula, la cual fue eliminada por el usuario</t>
  </si>
  <si>
    <t>Une cellule qui contenait une formule a été supprimée par l’utilisateur</t>
  </si>
  <si>
    <t>Results (in local currency) - provided that the conversion rate from USD to local currency has been entered in cell O2 in the "Reagents and consumables" tab</t>
  </si>
  <si>
    <t>Результаты (в местной валюте) — при условии, что в ячейку O2 в листе «Реагенты и расходные материалы» введен курс конвертации из доллара США в местную валюту</t>
  </si>
  <si>
    <t>Resultados (en moneda local) – siempre que la tasa de conversión de USD a moneda local haya sido ingresada en la celda O2 en la pestaña de Reactivos y consumibles</t>
  </si>
  <si>
    <t>Résultats (en devise locale) - à condition que le taux de conversion du USD vers la devise locale ait été saisi dans la cellule O2 de l'onglet « Réactifs et consommables »</t>
  </si>
  <si>
    <t>Make sure to enter conversion rate from USD to local currency in cell O2 in the "Reagents and consumables" tab</t>
  </si>
  <si>
    <t>Удостоверьтесь, что вы ввели курс конвертации из доллара США в местную валюту в ячейке O2 в листе «Реагенты и расходные материалы».</t>
  </si>
  <si>
    <t>Asegurarse de ingresar la tasa de conversión de USD a moneda local en la celda O2 de la pestaña de Reactivos y consumibles</t>
  </si>
  <si>
    <t>Assurez-vous d'entrer le taux de conversion du USD vers la devise locale dans la cellule O2 dans l'onglet « Réactifs et consommables »</t>
  </si>
  <si>
    <t>Prefilled data (contains free text) – edit information or value if necessary (will not affect calculation/formulas)</t>
  </si>
  <si>
    <t>Предварительно заполненные данные (содержит текст) — отредактируйте информацию или значение при необходимости (не повлияет на расчеты/формулы)</t>
  </si>
  <si>
    <t>Datos precargados (contienen texto libre) – editar la información o el valor si es necesario (no afectará cálculos/fórmulas)</t>
  </si>
  <si>
    <t>Données préremplies (contiennent du texte libre) – modifier les informations ou la valeur si nécessaire (cela n'affectera pas les calculs/formules)</t>
  </si>
  <si>
    <t>Deeplex WebApp</t>
  </si>
  <si>
    <t>Total number of samples for which the platform is used (for all pathogens)</t>
  </si>
  <si>
    <t>Общее количество образцов, для которых используется платформа (для всех патогенов)</t>
  </si>
  <si>
    <t>Número total de muestras para las que se utiliza la plataforma (para todos los patógenos)</t>
  </si>
  <si>
    <t>Nombre total d'échantillons pour lesquels la plateforme est utilisée (pour tous les agents pathogènes)</t>
  </si>
  <si>
    <t>Number of samples in this costing scenario for which the platform is used (for the costed pathogens)</t>
  </si>
  <si>
    <t>Количество образцов в данном сценарии оценки стоимости, для которых используется платформа (в отношении патогенов, для которых оценивается стоимость)</t>
  </si>
  <si>
    <t>Número de muestras en este escenario de estimación costos para las que se utiliza la plataforma (para los patógenos considerados en los costos)</t>
  </si>
  <si>
    <t>Nombre d'échantillons dans ce scénario de calcul des coûts pour lesquels la plateforme est utilisée (pour les agents pathogènes coûtés)</t>
  </si>
  <si>
    <t>Web Annex</t>
  </si>
  <si>
    <t>Веб-приложение</t>
  </si>
  <si>
    <t>Anexo web</t>
  </si>
  <si>
    <t>Annexe Web</t>
  </si>
  <si>
    <t>Abstract</t>
  </si>
  <si>
    <t>Резюме</t>
  </si>
  <si>
    <t>Resumen</t>
  </si>
  <si>
    <t>Résumé</t>
  </si>
  <si>
    <t>The documents were developed by the Association of Public Health Laboratories (APHL), FIND, the UK Health Security Agency (UKHSA) and WHO.</t>
  </si>
  <si>
    <t>Документы были разработаны Ассоциацией лабораторий общественного здравоохранения (APHL), FIND, Агентством Соединенного Королевства по безопасности здоровья (UKHSA) и Всемирной организацией здравоохранения (ВОЗ).</t>
  </si>
  <si>
    <t>Los documentos fueron desarrollados por la Asociación de Laboratorios de Salud Pública  (APHL), FIND), la Agencia de Seguridad Sanitaria del Reino Unido (UKHSA) y la (OMS).</t>
  </si>
  <si>
    <t>Les documents ont été élaborés par l’Association of Public Health Laboratories (APHL), FIND, l’UK Health Security Agency (UKHSA) et l’OMS.</t>
  </si>
  <si>
    <t>Document number: WHO/WHE/EPM/MCM/TL./2025.1</t>
  </si>
  <si>
    <t>Номер документа: WHO/WHE/EPM/MCM/TL./2025.1</t>
  </si>
  <si>
    <t>Número de documento: WHO/WHE/EPM/MCM/TL./2025.1</t>
  </si>
  <si>
    <t>Numéro de document : OMS/WHE/EPM/MCM/TL./2025.1</t>
  </si>
  <si>
    <t>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t>
  </si>
  <si>
    <t>Шаг 1. Лист «Ввод данных» («Data entry»): заполните информацию о геномном секвенировании, для которого вы выполняете расчет стоимости. Убедитесь, что вы заполняете инструмент сверху вниз. Если в примечании вас просят заполнить ячейки в другой строке, сделайте это сначала, прежде чем двигаться вниз. См. цветовую кодировку ниже.</t>
  </si>
  <si>
    <t>Paso 1. Hoja de entrada de datos: Complete la información sobre la secuenciación genómica para la cual está realizando la estimación de costos. Asegúrese de completar la herramienta de arriba hacia abajo. Si una nota le indica completar celdas en otra línea, hágalo primero antes de continuar hacia abajo. Consulte la clave de codificación por colores más abajo.</t>
  </si>
  <si>
    <t>Étape 1. Fiche de saisie : Complétez les informations sur le séquençage génomique pour lequel vous effectuez le calcul des coûts. Assurez-vous de bien compléter l'outil de haut en bas. Si une note vous demande de compléter des cellules dans une autre ligne, faites-le d'abord avant de descendre. Consultez la touche de code couleur ci-dessous.</t>
  </si>
  <si>
    <t>Step 2. Once the “Data entry” sheet is completed, review the output in the “Reagents and consumables” and “Equipment” sheets, especially the prices. Complete any missing information</t>
  </si>
  <si>
    <t>Шаг 2. После заполнения листа «Ввод данных» просмотрите данные в листах «Реагенты и расходные материалы» («Reagents and consumables») и «Оборудование» («Equipment»), особенно цены. Заполните недостающую информацию.</t>
  </si>
  <si>
    <t>Paso 2. Una vez completada la hoja “Entrada de Datos”, revise los resultados en las hojas “Reactivos y Consumibles” y “Equipos”, especialmente los precios. Completar cualquier información faltante.</t>
  </si>
  <si>
    <t>Étape 2. Une fois la feuille « saisie de données » complétée, vérifiez la sortie dans les feuilles « Réactifs et consommables » et « Équipement », en particulier les prix. Complétez toute information manquante</t>
  </si>
  <si>
    <t xml:space="preserve">Step 3. Fill in the rest of the sheets: “Personnel and training”, “Facility and transport”, “Bioinformatics”, and “Quality management” </t>
  </si>
  <si>
    <t xml:space="preserve">Шаг 3. Заполните оставшиеся листы: «Персонал и обучение» («Personnel and training»), «Помещение и транспорт» («Facility and transport»), «Биоинформатика» («Bioinformatics») и «Менеджмент качества» («Quality management»). </t>
  </si>
  <si>
    <t>Paso 3. Completar el resto de las hojas: “Personal y Capacitación”, “Instalaciones y Transporte”, “Bioinformática” y “Gestión de Calidad”.</t>
  </si>
  <si>
    <t xml:space="preserve">Étape 3. Remplissez le reste des feuilles : « Personnel et formation », « Infrastructure physique et transport », « Bioinformatique » et « Gestion de la qualité » </t>
  </si>
  <si>
    <t>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t>
  </si>
  <si>
    <t>Шаг 4. После ввода всех данных в инструмент и тщательного просмотра данных перейдите на лист «Результаты – USD» («Results – USD») для просмотра разбивки стоимости. Если вы введёте курс доллара США к местной валюте на листе «Реагенты и расходные материалы» в ячейку O2, вы сможете просмотреть разбивку в местной валюте на листе «Результаты – Местная валюта» («Results - local currency»).</t>
  </si>
  <si>
    <t>Paso 4. Una vez que la herramienta esté completada y los datos revisados cuidadosamente, vaya a la hoja “Resultados – USD” para ver el desglose de costos. Si ingresa una tasa de conversión de USD a la moneda local en la hoja “Reactivos y Consumibles”, en la celda O2, podrá visualizar los desgloses en la moneda local en la hoja “Resultados – Moneda local”.</t>
  </si>
  <si>
    <t>Étape 4. Une fois l'outil complété et les données soigneusement examinées, rendez-vous sur la feuille « Résultats – USD » pour la répartition des coûts. Si vous entrez un taux de conversion USD-devise locale dans la feuille « Réactifs et consommables » de la cellule O2, vous pouvez voir les découpes de la devise locale dans la feuille « Résultats - devise locale »</t>
  </si>
  <si>
    <t>© World Health Organization 2026</t>
  </si>
  <si>
    <t>© Всемирная организация здравоохранения, 2026 г</t>
  </si>
  <si>
    <t>© Organización mundial de la salud 2026</t>
  </si>
  <si>
    <t>© Organisation mondiale de la santé 2026</t>
  </si>
  <si>
    <r>
      <rPr>
        <sz val="11"/>
        <color theme="1"/>
        <rFont val="Calibri"/>
        <family val="2"/>
        <scheme val="minor"/>
      </rPr>
      <t xml:space="preserve">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t>
    </r>
    <r>
      <rPr>
        <u/>
        <sz val="11"/>
        <color theme="1"/>
        <rFont val="Calibri"/>
        <family val="2"/>
        <scheme val="minor"/>
      </rPr>
      <t>https://iris.who.int/</t>
    </r>
    <r>
      <rPr>
        <sz val="11"/>
        <color theme="1"/>
        <rFont val="Calibri"/>
        <family val="2"/>
        <scheme val="minor"/>
      </rPr>
      <t xml:space="preserve">.
Sales, rights and licensing. To purchase WHO publications, see </t>
    </r>
    <r>
      <rPr>
        <u/>
        <sz val="11"/>
        <color theme="1"/>
        <rFont val="Calibri"/>
        <family val="2"/>
        <scheme val="minor"/>
      </rPr>
      <t>https://www.who.int/publications/book-orders</t>
    </r>
    <r>
      <rPr>
        <sz val="11"/>
        <color theme="1"/>
        <rFont val="Calibri"/>
        <family val="2"/>
        <scheme val="minor"/>
      </rPr>
      <t xml:space="preserve">. To submit requests for commercial use and queries on rights and licensing, see </t>
    </r>
    <r>
      <rPr>
        <u/>
        <sz val="11"/>
        <color theme="1"/>
        <rFont val="Calibri"/>
        <family val="2"/>
        <scheme val="minor"/>
      </rPr>
      <t>https://www.who.int/copyright</t>
    </r>
    <r>
      <rPr>
        <sz val="11"/>
        <color theme="1"/>
        <rFont val="Calibri"/>
        <family val="2"/>
        <scheme val="minor"/>
      </rPr>
      <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t>
    </r>
  </si>
  <si>
    <t>Некоторые права защищены. Настоящая публикация распространяется на условиях лицензии Creative Commons 3.0 IGO «С указанием авторства – Некоммерческая – Распространение на тех же условиях» (CC BY-NC-SA 3.0 IGO; https://creativecommons.org/licenses/by-nc-sa/3.0/igo/deed.ru).
Лицензией допускается копирование, распространение и адаптация публикации в некоммерческих целях с указанием библиографической ссылки согласно нижеприведенному образцу. Никакое использование публикации не означает одобрения ВОЗ какой-либо организации, товара или услуги. Использование логотипа ВОЗ не допускается. Распространение адаптированных вариантов публикации допускается на условиях указанной или эквивалентной лицензии Creative Commons. При переводе публикации на другие языки приводятся библиографическая ссылка согласно нижеприведенному образцу и следующая оговорка: «Настоящий перевод не был выполнен Всемирной организацией здравоохранения (ВОЗ). ВОЗ не несет ответственности за содержание или точность перевода. Аутентичным подлинным текстом является оригинальное издание на английском языке Genomics costing tool, second edition. Geneva: World Health Organization; 2026. https://doi.org/10.2471/B09722. Licence: CC BY-NC-SA 3.0 IGO».
Урегулирование споров, связанных с условиями лицензии, производится в соответствии с согласительным регламентом Всемирной организации интеллектуальной собственности (https://www.wipo.int/amc/ru/mediation/rules). 
Образец библиографической ссылки. Инструмент оценки стоимости геномного секвенирования, второе издание. Женева: Всемирная организация здравоохранения; 2026 г. https://doi.org/10.2471/B09722. Лицензия: CC BY-NC-SA 3.0 IGO.
Данные каталогизации перед публикацией (CIP). Данные CIP доступны по ссылке: https://iris.who.int/?localeattribute=ru. 
Приобретение, авторские права и лицензирование. По вопросам приобретения публикаций ВОЗ см. https://www.who.int/publications/book-orders. По вопросам оформления заявок на коммерческое использование и направления запросов, касающихся права пользования и лицензирования, см. https://www.who.int/ru/copyright. 
Материалы третьих сторон. Пользователь, желающий использовать в своих целях содержащиеся в настоящей публикации материалы, принадлежащие третьим сторонам, например таблицы, рисунки или изображения, должен установить, требуется ли для этого разрешение обладателя авторского права, и при необходимости получить такое разрешение. Ответственность за нарушение прав на содержащиеся в публикации материалы третьих сторон несет пользователь.
Оговорки общего характера. Используемые в настоящей публикации обозначения и приводимые в ней материалы не означают выражения мнения ВОЗ относительно правового статуса любой страны, территории, города или района или их органов власти или относительно делимитации границ. Штрихпунктирные линии на картах обозначают приблизительные границы, которые могут быть не полностью согласованы.
Упоминания определенных компаний или продукции определенных производителей не означают, что они одобрены или рекомендованы ВОЗ в отличие от других аналогичных компаний или продукции, не названных в тексте. Названия патентованных изделий, исключая ошибки и пропуски в тексте, выделяются начальными прописными буквами.
ВОЗ приняты все разумные меры для проверки точности информации, содержащейся в настоящей публикации. Однако данные материалы публикуются без каких-либо прямых или косвенных гарантий. Ответственность за 
интерпретацию и использование материалов несет пользователь. ВОЗ не несет никакой ответственности за ущерб, связанный с использованием материалов.</t>
  </si>
  <si>
    <t>Algunos derechos reservados. Esta obra está disponible bajo la licencia Creative Commons Attribution-NonCommercial-ShareAlike 3.0 IGO (CC BY-NC-SA 3.0 IGO) (Atribución-NoComercial-CompartirIgual 3.0 IGO; https://creativecommons.org/licenses/by-nc-sa/3.0/igo/deed.es).
En virtud de los términos de esta licencia, usted puede copiar, redistribuir y adaptar esta obra para fines no comerciales, siempre que se cite de manera apropiada, tal como se indica más adelante. En ningún caso el uso de esta obra debe implicar que la OMS respalda a alguna organización, producto o servicio en particular. No se permite el uso del logotipo de la OMS. Si usted adapta esta obra, deberá licenciar su versión bajo la misma licencia Creative Commons o una equivalente. Si realiza una traducción, debe añadir la siguiente advertencia junto con la cita sugerida: “Esta traducción no fue creada por la Organización Mundial de la Salud (OMS). La OMS no se hace responsable del contenido ni de la exactitud de esta traducción. La edición original en inglés será la versión auténtica y vinculante Genomics costing tool, second edition. Geneva: World Health Organization; 2026. https://doi.org/10.2471/B09722. Licence: CC BY-NC-SA 3.0 IGO.”
Cualquier disputa relacionada con esta licencia se resolverá mediante mediación de acuerdo con las Reglas de Mediación de la Organización Mundial de la Propiedad Intelectual (World Intellectual Property Organization, WIPO), disponibles en: http://www.wipo.int/amc/en/mediation/rules/.
Forma de cita propuesta. Herramienta de estimación de costos en genómica, segunda edición. Ginebra: Organización Mundial de la Salud; 2026. https://doi.org/10.2471/B09722. Licencia: CC BY-NC-SA 3.0 IGO.
Datos de catalogación en la publicación (CIP). Disponibles en:  https://iris.who.int/
Ventas, derechos y licencias. Para adquirir publicaciones de la OMS, véase: https://www.who.int/publications/book-orders. Para solicitudes de uso con fines comerciales y consultas sobre derechos y licencias, véase: https://www.who.int/copyright.
Materiales de terceros. Si desea reutilizar material de esta obra que haya sido atribuido a un tercero como tablas, figuras o imágenes, es su responsabilidad determinar si requiere permiso y obtenerlo del titular de los derechos. El riesgo de reclamaciones por infracción de componentes de terceros recae exclusivamente en el usuario.
Exenciones generales de responsabilidad. Las denominaciones empleadas y la presentación del material en esta publicación no implican en absoluto la expresión de ninguna opinión por parte de la OMS sobre la situación jurídica de ningún país, territorio, ciudad o zona, ni de sus autoridades, ni sobre la delimitación de sus fronteras o límites. Las líneas punteadas y discontinuas en los mapas representan fronteras aproximadas respecto de las cuales puede no existir aún un acuerdo completo.
La mención de empresas específicas o de determinados productos de fabricantes no implica que la OMS los respalde o recomiende con preferencia a otros de naturaleza similar que no se mencionan. Salvo error u omisión, los nombres de los productos patentados se distinguen con letras mayúsculas iniciales.
La OMS ha tomado todas las precauciones razonables para verificar la información contenida en esta publicación. No obstante, el material publicado se distribuye sin garantía de ningún tipo, ni expresa ni implícita. La responsabilidad de la interpretación y el uso del material recae en el lector. En ningún caso la OMS será responsable de los daños derivados de su utilización.</t>
  </si>
  <si>
    <t xml:space="preserve">Certains droits réservés. La présente œuvre est disponible sous la licence Creative Commons Attribution – Pas d’utilisation commerciale – Partage dans les mêmes conditions 3.0 IGO (CC BY-NC-SA 3.0 IGO ; https://creativecommons.org/licenses/by-nc-sa/3.0/igo/deed.fr). 
Aux termes de cette licence, vous pouvez copier, distribuer et adapter l’œuvre à des fins non commerciales, pour autant que l’œuvre soit citée de manière appropriée, comme il est indiqué ci dessous. Dans l’utilisation qui sera faite de l’œuvre, quelle qu’elle soit, il ne devra pas être suggéré que l’OMS approuve une organisation, des produits ou des services particuliers. L’utilisation du logo de l’OMS est interdite. Si vous adaptez cette œuvre, vous êtes tenu de diffuser toute nouvelle œuvre sous la même licence Creative Commons ou sous une licence équivalente. Si vous traduisez cette œuvre, il vous est demandé d’ajouter la clause de non-responsabilité suivante à la citation suggérée : «La présente traduction n’a pas été établie par l’Organisation mondiale de la Santé (OMS). L’OMS ne saurait être tenue pour responsable du contenu ou de l’exactitude de la présente traduction. L’édition originale anglaise est l’édition authentique qui fait foi Genomics costing tool, second edition. Geneva: World Health Organization; 2026. https://doi.org/10.2471/B09722. Licence: CC BY-NC-SA 3.0 IGO». 
Toute médiation relative à un différend survenu dans le cadre de la licence sera menée conformément au Règlement de médiation de l’Organisation mondiale de la propriété intellectuelle (https://www.wipo. int/amc/fr/mediation/rules/index.html). 
Citation suggérée. Outil de calcul des coûts génomiques, deuxième édition. Genève: Organisation mondiale de la santé; 2026. https://doi.org/10.2471/B09722. Licence : CC BY-NC-SA 3.0 IGO. 
Catalogage à la source. Disponible à l’adresse https://apps.who.int/iris/?locale-attribute=fr&amp;. 
Ventes, droits et licences. Pour acheter les publications de l’OMS, voir http://apps.who.int/bookorders. Pour soumettre une demande en vue d’un usage commercial ou une demande concernant les droits et licences, voir https://www.who.int/fr/copyright 
Matériel attribué à des tiers. Si vous souhaitez réutiliser du matériel figurant dans la présente œuvre qui est attribué à un tiers, tel que des tableaux, figures ou images, il vous appartient de déterminer si une permission doit être obtenue pour un tel usage et d’obtenir cette permission du titulaire du droit d’auteur. L’utilisateur s’expose seul au risque de plaintes résultant d’une infraction au droit d’auteur dont est titulaire un tiers sur un élément de la présente œuvre. 
Clause générale de non-responsabilité. Les appellations employées dans la présente publication et la présentation des données qui y figurent n’impliquent de la part de l’OMS aucune prise de position quant au statut juridique des pays, territoires, villes ou zones, ou de leurs autorités, ni quant au tracé de leurs frontières ou limites. Les traits discontinus formés d’une succession de points ou de tirets sur les cartes représentent des frontières approximatives dont le tracé peut ne pas avoir fait l’objet d’un accord définitif. 
La mention de firmes et de produits commerciaux ne signifie pas que ces firmes et ces produits commerciaux sont agréés ou recommandés par l’OMS, de préférence à d’autres de nature analogue. Sauf erreur ou omission, une majuscule initiale indique qu’il s’agit d’un nom déposé. 
L’OMS a pris toutes les précautions raisonnables pour vérifier les informations contenues dans la présente publication. Toutefois, le matériel publié est diffusé sans aucune garantie, expresse ou implicite. La responsabilité de l’interprétation et de l’utilisation dudit matériel incombe au lecteur. En aucun cas, l’OMS ne saurait être tenue pour responsable des préjudices subis du fait de son utilisation. </t>
  </si>
  <si>
    <t>Geneious</t>
  </si>
  <si>
    <t>Geneious (logiciel)</t>
  </si>
  <si>
    <t>Calculated costs – Facility</t>
  </si>
  <si>
    <t>Расчет стоимости - Помещение</t>
  </si>
  <si>
    <t>Costos calculados – Instalaciones</t>
  </si>
  <si>
    <t>Coûts calculés – Infrastructure physique</t>
  </si>
  <si>
    <t>Calculated costs – Quality management</t>
  </si>
  <si>
    <t>Расчет стоимости - Менеджмент качества</t>
  </si>
  <si>
    <t>Costos calculados – Gestión de la calidad</t>
  </si>
  <si>
    <t>Coûts calculés – Gestion de la qualité</t>
  </si>
  <si>
    <t>Calculated costs – Facility and transport</t>
  </si>
  <si>
    <t>Расчет стоимости - Помещение и транспорт</t>
  </si>
  <si>
    <t>Costos calculados – Instalaciones y transporte</t>
  </si>
  <si>
    <t>Coûts calculés – Infrastructure physique et transport</t>
  </si>
  <si>
    <t>Calculated costs – Personnel and training</t>
  </si>
  <si>
    <t>Расчет стоимости - Персонал и обучение</t>
  </si>
  <si>
    <t>Costos calculados – Personal y capacitación</t>
  </si>
  <si>
    <t>Coûts calculés – Personnel et formation</t>
  </si>
  <si>
    <t>Calculated costs – Reagents and consumables</t>
  </si>
  <si>
    <t>Расчет стоимости - Реагенты и расходные материалы</t>
  </si>
  <si>
    <t>Costos calculados – Reactivos y consumibles</t>
  </si>
  <si>
    <t>Coûts calculés – Réactifs et consommables</t>
  </si>
  <si>
    <t>Calculated costs – Equipment</t>
  </si>
  <si>
    <t>Расчет стоимости - Оборудование</t>
  </si>
  <si>
    <t>Costos calculados – Equipos</t>
  </si>
  <si>
    <t>Coûts calculés – Équipement</t>
  </si>
  <si>
    <t>The number of barcodes is equivalent to the number of samples as per the instruction for use (where available)</t>
  </si>
  <si>
    <t>Количество штрихкодов соответствует количеству образцов согласно инструкции по применению (при наличии)</t>
  </si>
  <si>
    <t>El número de códigos de barras es equivalente al número de muestras según las instrucciones de uso (cuando dichas instrucciones estén disponibles)</t>
  </si>
  <si>
    <t>Le nombre de codes-barres est équivalent au nombre d'échantillons selon l'instruction d'utilisation (lorsque disponible)</t>
  </si>
  <si>
    <t xml:space="preserve">Acknowledgements </t>
  </si>
  <si>
    <t>Выражение признательности</t>
  </si>
  <si>
    <t>Agradecimientos</t>
  </si>
  <si>
    <t xml:space="preserve">Remerciements </t>
  </si>
  <si>
    <t>Leadership and coordination</t>
  </si>
  <si>
    <t>Руководство и координация</t>
  </si>
  <si>
    <t>Liderazgo y coordinación</t>
  </si>
  <si>
    <t>Direction et coordination</t>
  </si>
  <si>
    <t>Core technical team</t>
  </si>
  <si>
    <t>Основная группа технических экспертов</t>
  </si>
  <si>
    <t>Equipo técnico central</t>
  </si>
  <si>
    <t>Équipe technique principale</t>
  </si>
  <si>
    <t>Contributors</t>
  </si>
  <si>
    <t>Соавторы</t>
  </si>
  <si>
    <t>Colaboradores</t>
  </si>
  <si>
    <t>Contributeurs</t>
  </si>
  <si>
    <t>External reviewers</t>
  </si>
  <si>
    <t>Внешние рецензенты</t>
  </si>
  <si>
    <t>Revisores externos</t>
  </si>
  <si>
    <t>Évaluateurs externes</t>
  </si>
  <si>
    <t>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t>
  </si>
  <si>
    <t>Рабочая группа по созданию инструмента оценки стоимости геномного секвенирования выражает искреннюю благодарность всем учреждениям и лабораториям общественного здравоохранения, совместные усилия которых при рецензировании и пилотировании сыграли важную роль в валидации второго издания инструмента оценки стоимости геномного секвенирования: Жылдыз Атамбекова (Кыргызский научно-исследовательский институт ветеринарии имени Арстанбека Дуйшеева Министерства сельского хозяйства Кыргызской Республики, Кыргызстан), Soany Mariela Avilez (Национальная лаборатория эпидемиологического надзора / Национальная вирусологическая лаборатория Министерства здравоохранения (SESAL), Гондурас), Жылдыз Бектурова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Veronica Burlac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Valeria Ceban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Elena Chesov (Лаборатория генетики, Центр персонализированной медицины, Государственный университет медицины и фармации им. Николая Тестемицану, Республика Молдова), Nelly Ciobanu (Национальная референс-лаборатория по туберкулезу, ПМСУ Институт пульмонологии «Кирилл Драганюк», Республика Молдова), Alexandru Codreanu (Национальная референс-лаборатория по туберкулезу, ПМСУ Институт пульмонологии «Кирилл Драганюк», Республика Молдова), Svetlana Colac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Толкун Исакова (Национальная референс-лаборатория по туберкулезу, Национальный центр фтизиатрии Министерства здравоохранения Кыргызской Республики, Кыргызстан), Баариниса Исканова (Референс-лаборатория по диагностике вирусных гепатитов и ВИЧ, Республиканский центр по контролю за гемоконтактными вирусными гепатитами и ВИЧ, Министерство здравоохранения Кыргызской Республики, Кыргызстан), Гульмира Калмамбетова (Национальная референс-лаборатория по туберкулезу, Национальный центр фтизиатрии Министерства здравоохранения Кыргызской Республики, Кыргызстан), Khoo Yoong Khean (Центр готовности к вспышкам заболеваний, Медицинская школа Дьюка–Национального университета Сингапура, Сингапур), Shurendar Selva Kumar (Центр готовности к вспышкам заболеваний, Медицинская школа Дьюка–Национального университета Сингапура, Сингапур), Гулшан Матаева (Национальная референс-лаборатория по туберкулезу, Национальный центр фтизиатрии Министерства здравоохранения Кыргызской Республики, Кыргызстан), Гульмира Орозалиева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Paul Michael Pronyk (Центр готовности к вспышкам заболеваний, Медицинская школа Дьюка–Национального университета Сингапура, Сингапур), Stela Racovita (Лаборатория генетики, Центр персонализированной медицины, Государственный университет медицины и фармации им. Николае Тестемицану, Республика Молдова), Karla Dariela Romero (Национальная лаборатория эпидемиологического надзора / Национальная вирусологическая лаборатория Министерства здравоохранения (SESAL), Гондурас), Адыл Рыспаев (Лаборатория вирусологических и молекулярно-генетических исследований, Департамент профилактики заболеваний и государственного санитарно-эпидемиологического надзора Министерства здравоохранения Кыргызской Республики, Кыргызстан), Гулбарчын Сапарова (Национальная референс-лаборатория по туберкулезу, Национальный центр фтизиатрии Министерства здравоохранения Кыргызской Республики, Кыргызстан), Victor Sitnic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Alexandra Suruceanu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 Мээрбубу Сыдыкова (Национальная референс-лаборатория по туберкулезу, Национальный центр фтизиатрии Министерства здравоохранения Кыргызской Республики, Кыргызстан), Ada Mariela Vidal (Национальная лаборатория эпидемиологического надзора / Национальная вирусологическая лаборатория Министерства здравоохранения (SESAL), Гондурас), Ecaterina Zazuc (Национальная референс-лаборатория геномного секвенирования, Национальное агентство общественного здравоохранения, Министерство здравоохранения Республики Молдова, Республика Молдова).</t>
  </si>
  <si>
    <t>El grupo de trabajo de la GCT expresa su más sincero agradecimiento a todas las instituciones y laboratorios de salud pública cuyos esfuerzos colaborativos en la revisión de la herramienta y en el ejercicio piloto fueron fundamentales para validar la segunda edición de la GCT: Zhyldyz Atambekova (Instituto de Investigación de Medicina Veterinaria de Kirguistán que lleva el nombre de Arstanbek Duisheev del Ministerio de Agricultura de la República Kirguisa,  Kirguistán), Soany Mariela Avilez (Laboratorio Nacional de Vigilancia de la Salud (LNVS) / Laboratorio Nacional de Virología, de la Secretaría de Salud (SESAL), Honduras),  Zhyldyz Bekturova (Laboratorio de Genética Molecular y Virología, Departamento de Prevención de Enfermedades y Vigilancia Sanitaria y Epidemiológica Estatal del Ministerio de Salud de la República Kirguisa, Kirguistán), Veronica Burlac (Laboratorio Nacional de Referencia en Secuenciación Genómica, Agencia Nacional de Salud Pública, Ministerio de Salud de la República de Moldavia, República de Moldavia), Valeria Ceban (Laboratorio Nacional de Referencia en Secuenciación Genómica, Agencia Nacional de Salud Pública, Ministerio de Salud de la República de Moldavia, República de Moldavia), Elena Chesov (Laboratorio de Genética, Centro de Medicina Personalizada, Universidad Estatal de Medicina y Farmacia “Nicolae Testemițanu”, República de Moldavia), Nelly Ciobanu (Laboratorio Nacional de Referencia de Tuberculosis, Instituto de Neumología PMSI “Chiril Draganiuc”, República de Moldavia), Alexandru Codreanu (Laboratorio Nacional de Referencia de Tuberculosis, Instituto de Neumología PMSI “Chiril Draganiuc”, República de Moldavia), Svetlana Colac (Laboratorio Nacional de Referencia en Secuenciación Genómica, Agencia Nacional de Salud Pública, Ministerio de Salud de la República de Moldavia, República de Moldavia), Tolkun Isakova (Laboratorio Nacional de Referencia para Tuberculosis, TB, Centro Nacional de Ftisiología del Ministerio de Salud de la República Kirguisa, Kirguistán), Baarinisa Iskanova (Laboratorio de Referencia para el Diagnóstico de Hepatitis Viral y VIH, Centro Nacional para el Control de la Hepatitis Viral Transmitida por Sangre y el VIH, Ministerio de Salud de la República Kirguisa, Kirguistán), Gulmira Kalmambetova (Laboratorio Nacional de Referencia para Tuberculosis, Centro Nacional de Ftisiología del Ministerio de Salud de la República Kirguisa, Kirguistán), Khoo Yoong Khean (Centro Duke-NUS de Preparación ante Brotes, Singapur), Shurendar Selva Kumar (Centro Duke-NUS de Preparación ante Brotes, Singapur),  Gulshan Mataeva (Laboratorio Nacional de Referencia para Tuberculosis, Centro Nacional de Ftisiología del Ministerio de Salud de la República Kirguisa, Kirguistán), Gulmira Orozalieva (Laboratorio de Genética Molecular y Virología, Departamento de Prevención de Enfermedades y Vigilancia Sanitaria y Epidemiológica Estatal del Ministerio de Salud de la República Kirguisa, Kirguistán), Paul Michael Pronyk (Centro Duke-NUS de Preparación ante Brotes, Singapur), Stela Racovita (Laboratorio de Genética, Centro de Medicina Personalizada, Universidad Estatal de Medicina y Farmacia “Nicolae Testemițanu”, República de Moldavia), Karla Dariela Romero (Laboratorio Nacional de Vigilancia de la Salud (LNVS) / Laboratorio Nacional de Virología, de la Secretaría de Salud (SESAL), Honduras), Adyl Ryspaev (Laboratorio de Genética Molecular y Virología, Departamento de Prevención de Enfermedades y Vigilancia Sanitaria y Epidemiológica Estatal del Ministerio de Salud de la República Kirguisa, Kirguistán), Gulbarchyn Saparova (Laboratorio Nacional de Referencia para Tuberculosis, Centro Nacional de Ftisiología del Ministerio de Salud de la República Kirguisa, Kirguistán), Victor Sitnic (Laboratorio Nacional de Referencia en Secuenciación Genómica, Agencia Nacional de Salud Pública, Ministerio de Salud de la República de Moldavia, República de Moldavia), Alexandra Suruceanu (Laboratorio Nacional de Referencia en Secuenciación Genómica, Agencia Nacional de Salud Pública, Ministerio de Salud de la República de Moldavia, República de Moldavia), Meerbubu Sydykova (Laboratorio Nacional de Referencia para Tuberculosis, Centro Nacional de Ftisiología del Ministerio de Salud de la República Kirguisa, Kirguistán), Ada Mariela Vidal (Laboratorio Nacional de Vigilancia de la Salud (LNVS) / Laboratorio Nacional de Virología, de la Secretaría de Salud (SESAL), Honduras), Ecaterina Zazuc (Laboratorio Nacional de Referencia en Secuenciación Genómica, Agencia Nacional de Salud Pública, Ministerio de Salud de la República de Moldavia, República de Moldavia).</t>
  </si>
  <si>
    <t>Le groupe de travail du GCT adresse sa sincère reconnaissance à toutes les institutions et laboratoires de santé publique dont les efforts collaboratifs lors de la revue des outils et de l'exercice pilote ont été déterminants pour valider la deuxième édition du GCT : Zhyldyz Atambekova (Institut Kirghiz de recherche en médecine vétérinaire nommé d'après Arstanbek Duisheev du ministère de l'Agriculture de la République Kirghize), Soany Mariela Avilez (Laboratoire national de surveillance de la santé / Laboratoire national de virologie du ministère de la Santé (SESAL), Honduras), Zhyldyz Bekturova (laboratoire de génétique moléculaire et virologie, département de la prévention des maladies et de la surveillance sanitaire et épidémiologique d'État du ministère de la Santé de la République Kirghize), Veronica Burlac (laboratoire national de référence en séquençage génomique, Agence nationale de la santé publique,  Ministère de la Santé de la République de Moldavie, République de Moldavie), Valeria Ceban (Laboratoire national de référence en séquençage génomique, Agence nationale de la santé publique, Ministère de la Santé de la République de Moldavie, République de Moldavie), Elena Chesov (Laboratoire de génétique, Centre de médecine personnalisée, Université d'État de médecine et de pharmacie « Nicolae Testemițanu », République de Moldavie), Nelly Ciobanu (Laboratoire national de référence sur la tuberculose,  PMSI Institut de pneumologie « Chiril Draganiuc », République de Moldavie), Alexandru Codreanu (Laboratoire national de référence de la tuberculose, Institut de pneumologie PMSI « Chiril Draganiuc », République de Moldavie), Svetlana Colac (Laboratoire national de référence en séquençage génomique, Agence nationale de la santé publique, Ministère de la Santé de la République de Moldavie, République de Moldavie), Tolkun Isakova (Laboratoire national de référence pour la tuberculose, Centre national de phthisiologie du Ministère de la Santé de la République Kirghize), Baarinisa Iskanova (laboratoire de référence pour le diagnostic de l'hépatite virale et du VIH, Centre républicain pour le contrôle de l'hépatite virale transmise par le sang et du VIH, ministère de la Santé de la République Kirghize), Gulmira Kalmambetova (laboratoire national de référence pour la tuberculose, Centre national de phthisiologie du ministère de la Santé de la République Kirghize), Khoo Yoong Khean (Centre Duke-NUS pour la préparation aux épidémies,  Singapour), Shurendar Selva Kumar (Centre Duke-NUS pour la préparation aux épidémies, Singapour), Gulshan Mataeva (Laboratoire national de référence pour la tuberculose, Centre national de phthisiologie du ministère de la Santé de la République Kirghize), Gulmira Orozalieva (laboratoire de génétique moléculaire et virologie, département de la prévention des maladies et de la surveillance sanitaire et épidémiologique d'État du ministère de la Santé de la République Kirghize), Paul Michael Pronyk (Centre Duke-NUS pour la préparation aux épidémies, Singapour), Stela Racovita (Laboratoire de génétique, Centre de médecine personnalisée, Université d'État de médecine et de pharmacie « Nicolae Testemițanu », République de Moldavie), Karla Dariela Romero (Laboratoire national de surveillance de la santé / Laboratoire national de virologie du ministère de la Santé (SESAL), Honduras), Adyl Ryspaev (Laboratoire de génétique moléculaire et virologie, Département de prévention des maladies et d'État Surveillance sanitaire et épidémiologique du ministère de la Santé de la République Kirghize), Gulbarchyn Saparova (laboratoire national de référence pour la tuberculose, Centre national de phthisiologie du ministère de la Santé de la République Kirghize), Victor Sitnic (laboratoire national de référence en séquençage génomique, Agence nationale de la santé publique, ministère de la Santé de la République de Moldavie,  République de Moldavie), Alexandra Suruceanu (Laboratoire national de référence en séquençage génomique, Agence nationale de la santé publique, Ministère de la Santé de la République de Moldavie, République de Moldavie), Meerbubu Sydykova (Laboratoire national de référence pour la tuberculose, Centre national de phthisiologie du Ministère de la Santé de la République Kirghize), Ada Mariela Vidal (Laboratoire national de surveillance de la santé / Laboratoire national de virologie du ministère de la Santé (SESAL),  Honduras), Ecaterina Zazuc (Laboratoire national de référence en séquençage génomique, Agence nationale de la santé publique, Ministère de la Santé de la République de Moldavie, République de Moldavie).</t>
  </si>
  <si>
    <t>Universal One-Step RT-qPCR Kit (200 rxns)</t>
  </si>
  <si>
    <t>Универсальный набор для одноэтапной ОТ-ПЦР (200 реакций)</t>
  </si>
  <si>
    <t>Kit universal One-Step de RT-qPCR (200 reacciones)</t>
  </si>
  <si>
    <t>Kit universel RT‑qPCR en une étape (200 réactions)</t>
  </si>
  <si>
    <t>Q5 Hot Start HiFi DNA Polymerase (500 units)</t>
  </si>
  <si>
    <t>Высокоточная ДНК-полимераза Q5 с горячим стартом (500 единиц)</t>
  </si>
  <si>
    <t>Q5 Hot Start HiFi ADN polimerasa (500 unidades)</t>
  </si>
  <si>
    <t>Polymérase Q5 Hot Start HiFi ADN (500 unités)</t>
  </si>
  <si>
    <t>10mM dNTP (5x1mL)</t>
  </si>
  <si>
    <t>Смесь дНТФ 10 мМ (5 х 1 мл)</t>
  </si>
  <si>
    <t>Los trifosfatos de desoxinucleótidos (dNTPs) 10mM (5x1mL)</t>
  </si>
  <si>
    <t>dNTP 10 mM (5 × 1 mL)</t>
  </si>
  <si>
    <t>dS DNA HS assay kit for fluoremeter (500)</t>
  </si>
  <si>
    <t>Набор для высокочувствительного измерения концентрации двухцепочечной ДНК на флуориметре (500 реакций)</t>
  </si>
  <si>
    <t>Kit de ensayo de ADN bicatenario (dsDNA) HS para fluorímetro (500)</t>
  </si>
  <si>
    <t>Kit d’essai ADN haute sensibilité dS pour fluoromètre (500 tests)</t>
  </si>
  <si>
    <t>High sensitivity DNA assay kit for bioanalyser (110 samples)</t>
  </si>
  <si>
    <t>Набор для анализа ДНК на биоанализаторе высокой чувствительности (110 образцов)</t>
  </si>
  <si>
    <t>Kit de ensayo de ADN de alta sensibilidad para bioanalizador (110 muestras)</t>
  </si>
  <si>
    <t>Kit d’analyse ADN haute sensibilité pour Bioanalyzer (110 échantillons)</t>
  </si>
  <si>
    <t xml:space="preserve">ONT Flow cell wash kit </t>
  </si>
  <si>
    <t>Набор для промывки проточных ячеек ONT</t>
  </si>
  <si>
    <t>Kit de lavado de celda de flujo ONT</t>
  </si>
  <si>
    <t>Kit de lavage de flow cells ONT</t>
  </si>
  <si>
    <t>Реагент</t>
  </si>
  <si>
    <t>Reactivo</t>
  </si>
  <si>
    <t>Réactif</t>
  </si>
  <si>
    <t>Consumable</t>
  </si>
  <si>
    <t>Расходный материал</t>
  </si>
  <si>
    <t>Consumible</t>
  </si>
  <si>
    <t>Consommable</t>
  </si>
  <si>
    <t>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t>
  </si>
  <si>
    <t>ВОЗ осуществляла общее руководство и координацию разработки и публикации инструмента оценки стоимости геномного секвенирования. За техническую разработку отвечал Alexandr Jaguparov (Контроль инфекционных угроз, Европейское региональное бюро ВОЗ) под руководством Joanna Salvi Le Garrec Zwetyenga (Контроль инфекционных угроз, Европейское региональное бюро ВОЗ). Разработку руководства пользователя вели Ashley Bolding (APHL, Соединенные Штаты Америки) и Toni Whistler (APHL, США). Oluwatosin Wuraola Akande (Департамент по контролю и реагированию на эпидемии и пандемии, штаб- квартира ВОЗ) осуществляла общую координацию данного проекта.</t>
  </si>
  <si>
    <t>La OMS proporcionó el liderazgo y la coordinación para el desarrollo y la publicación de la Herramienta de estimación de costos (GCT). El desarrollo técnico de la herramienta fue liderado por Alexandr Jaguparov (Gestión de Riesgos Infecciosos, Oficina Regional de la OMS para Europa), bajo la supervisión de Joanna Salvi Le Garrec Zwetyenga (Gestión de Riesgos Infecciosos, Oficina Regional de la OMS para Europa). El desarrollo del manual de usuario fue codirigido por Ashley Bolding (APHL, Estados Unidos de América) y Toni Whistler (APHL, EUA). La coordinación general del proyecto GCT estuvo a cargo de Oluwatosin Wuraola Akande (Departamento de Gestión de Epidemias y Pandemias, Sede de la OMS).</t>
  </si>
  <si>
    <t>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t>
  </si>
  <si>
    <t>Следующие участники рабочей группы по разработке инструмента оценки стоимости геномного секвенирования внесли существенный интеллектуальный вклад в определение содержания, техническую концепцию, разработку, написание и рецензирование инструмента оценки стоимости геномного секвенирования и руководства пользователя к нему: Babak Afrough (UKHSA, Соединённое Королевство Великобритании и Северной Ирландии), Oluwatosin Wuraola Akande (Департамент по контролю и реагированию на эпидемии и пандемии, штаб- квартира ВОЗ), Ashley Bolding (APHL, США), Alexandr Jaguparov (Контроль инфекционных угроз, Европейское региональное бюро ВОЗ), Beatrix Kele (UKHSA, Великобритания), Marco Marklewitz (FIND, Швейцария), Biran Musul (Страновой офис ВОЗ в Турции), Angela Poates (APHL, США), Joanna Salvi Le Garrec Zwetyenga (Контроль инфекционных угроз, Европейское региональное бюро ВОЗ), Toni Whistler (APHL, США), Aude Wilhelm (UKHSA, Великобритания; Центр оперативно-аналитической информации ВОЗ о пандемиях и эпидемиях, штаб-квартира ВОЗ).</t>
  </si>
  <si>
    <t>Los siguientes miembros del grupo de trabajo de la Herramienta de eestimación de costos en genómica (GCT) realizaron aportes intelectuales sustanciales al contribuir en la definición del alcance, el concepto técnico, el desarrollo, la redacción y revisión de la GCT y su manual de usuario: Babak Afrough (UKHSA, Reino Unido de Gran Bretaña e Irlanda del Norte), Oluwatosin Wuraola Akande (Departamento de Gestión de Epidemias y Pandemias, Sede de la OMS), Ashley Bolding (APHL, EUA), Alexandr Jaguparov (Gestión de Riesgos Infecciosos, Oficina Regional de la OMS para Europa), Beatrix Kele (UKHSA, Gran Bretaña), Marco Marklewitz (FIND, Suiza), Biran Musul (Oficina de la OMS en Turquía), Angela Poates (APHL, EUA), Joanna Salvi Le Garrec Zwetyenga (Gestión de Riesgos Infecciosos, Oficina Regional de la OMS para Europa), Toni Whistler (APHL, EUA), Aude Wilhelm (UKHSA, Gran Bretaña; Centro de la OMS para la Inteligencia de Epidemias y Pandemias, Sede de la OMS).</t>
  </si>
  <si>
    <t>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t>
  </si>
  <si>
    <t>Следующие коллеги оказали поддержку в определении содержания и рецензировании инструмента: Silvia Argimon (Центр оперативно-аналитической информации ВОЗ о пандемиях и эпидемиях, штаб-квартира ВОЗ), Josefina Campos (Центр оперативно-аналитической информации ВОЗ о пандемиях и эпидемиях, штаб-квартира ВОЗ), Soudeh Ehsani (Отдел инфекционных болезней, окружающей среды и здоровья, Европейское региональное бюро ВОЗ), Sophia Georghiou (Глобальная программа по борьбе с туберкулезом и здоровью легких, штаб-квартира ВОЗ), Nicksy Gumede-Moeletsi (Африканское региональное бюро ВОЗ), Noah Hull (APHL, США), Adolfo Lara (APHL, США), Miguel Moreno-Molina (FIND, Швейцария), Dmitriy Pereyaslov (Департамент по контролю и реагированию на эпидемии и пандемии, штаб-квартира ВОЗ), Julia Pringle (APHL, США), Jessica Rowland (APHL, США), Anita Suresh (FIND, Швейцария), Swapna Uplekar (FIND, Швейцария).</t>
  </si>
  <si>
    <t>Los siguientes brindaron apoyo en la definición del alcance y en la revisión de la herramienta: Silvia Argimon (Centro de la OMS para la Inteligencia de Epidemias y Pandemias, Sede de la OMS), Josefina Campos (Centro de la OMS para la Inteligencia de Epidemias y Pandemias, Sede de la OMS), Soudeh Ehsani (División de Enfermedades Transmisibles, Medio Ambiente y Salud, Oficina Regional de la OMS para Europa), Sophia Georghiou (Programa Mundial sobre Tuberculosis y Salud Pulmonar, Sede de la OMS), Nicksy Gumede-Moeletsi (Oficina Regional de la OMS en África), Noah Hull (APHL, EUA), Adolfo Lara (APHL, EUA), Miguel Moreno-Molina (FIND, Suiza), Dmitriy Pereyaslov (Departamento de Gestión de Epidemias y Pandemias, Sede de la OMS), Julia Pringle (APHL, EUA), Jessica Rowland (APHL, EUA), Anita Suresh (FIND, Suiza), Swapna Uplekar (FIND, Suiza).</t>
  </si>
  <si>
    <t>L'OMS a assuré le leadership et la coordination pour le développement et la publication du GCT. Le développement technique de l'outil a été dirigé par Alexandr Jaguparov (Gestion des risques infectieux, Bureau régional de l'OMS pour l'Europe) sous la supervision de Joanna Salvi Le Garrec Zwetyenga (Gestion des risques infectieux, Bureau régional de l'OMS pour l'Europe). Le développement du manuel d'utilisation a été co-dirigé par Ashley Bolding (APHL, États-Unis d'Amérique) et Toni Whistler (APHL, É.U.). Oluwatosin Wuraola Akande (Département de la gestion des épidémies et des pandémies, siège de l'OMS) a dirigé la coordination globale du projet GCT.</t>
  </si>
  <si>
    <t>Les membres suivants du groupe de travail du GCT ont apporté une contribution intellectuelle substantielle en contribuant à la définition, au concept technique, au développement, à la rédaction et à la revue du GCT et de son manuel d'utilisation: Babak Afrough (UKHSA, Royaume-Uni de Grande-Bretagne et d'Irlande du Nord), Oluwatosin Wuraola Akande (Département de la gestion des épidémies et des pandémies, siège de l'OMS), Ashley Bolding (APHL, É.U.),  Alexandr Jaguparov (Gestion des risques infectieux, Bureau régional de l'OMS pour l'Europe), Beatrix Kele (UKHSA, Royaume-Uni), Marco Marklewitz (FIND, Suisse), Biran Musul (Bureau pays de l'OMS pour la Turquie), Angela Poates (APHL, É.U.), Joanna Salvi Le Garrec Zwetyenga (Gestion des risques infectieux, Bureau régional de l'OMS pour l'Europe), Toni Whistler (APHL, É.U.),  Aude Wilhelm (UKHSA, Royaume-Uni; Centre de l'OMS pour le renseignement sur les pandémies et les épidémies, siège de l'OMS).</t>
  </si>
  <si>
    <t>Les personnes suivantes ont apporté un soutien à la définition et à l'examen de l'outil : Silvia Argimon (Centre OMS pour le renseignement pandémique et épidémique, siège de l'OMS), Josefina Campos (Centre OMS pour le renseignement pandémique et épidémique, siège de l'OMS), Soudeh Ehsani (Division des maladies transmissibles, de l'environnement et de la santé, Bureau régional de l'OMS pour l'Europe), Sophia Georghiou (Programme mondial sur la tuberculose et la santé pulmonaire, siège de l'OMS), Nicksy Gumede-Moeletsi (Bureau régional de l'OMS pour l'Afrique),  Noah Hull (APHL, É.U.), Adolfo Lara (APHL, É.U.), Miguel Moreno-Molina (FIND, Suisse), Dmitriy Pereyaslov (Département de la gestion des épidémies et des pandémies, siège de l'OMS), Julia Pringle (APHL, É.U.), Jessica Rowland (APHL, É.U.), Anita Suresh (FIND, Suisse), Swapna Uplekar (FIND, Suisse).</t>
  </si>
  <si>
    <t>Enter name of the kit in H25, quantity (packs for all number of samples) in cell I25 and price per pack in J25</t>
  </si>
  <si>
    <t>Enter name of the kit in H26, quantity (packs for all number of samples) in cell I26 and price per pack in J26</t>
  </si>
  <si>
    <t>Введите название набора в ячейку H25, количество (упаковок для всех образцов) в ячейку I25 и цену за упаковку в ячейку J25.</t>
  </si>
  <si>
    <t>Введите название набора в ячейку H26, количество (упаковок для всех образцов) в ячейку I26 и цену за упаковку в ячейку J26.</t>
  </si>
  <si>
    <t>Saisissez le nom du kit dans la cellule H25, la quantité (nombre de paquets pour l'ensemble des échantillons) dans la cellule I25 et le prix du paquet dans la cellule J25.</t>
  </si>
  <si>
    <t>Saisissez le nom du kit dans la cellule H26, la quantité (nombre de paquets pour l'ensemble des échantillons) dans la cellule I26 et le prix du paquet dans la cellule J26.</t>
  </si>
  <si>
    <t>Introduzca el nombre del kit en H25, la cantidad (número de paquetes para el total de muestras) en la celda I25 y el precio por paquete en J25.</t>
  </si>
  <si>
    <t>Introduzca el nombre del kit en H26, la cantidad (número de paquetes para el total de muestras) en la celda I26 y el precio por paquete en J26.</t>
  </si>
  <si>
    <t>https://iris.who.int/handle/10665/384933</t>
  </si>
  <si>
    <t>Licence: CC BY-NC-SA 3.0 IGO.</t>
  </si>
  <si>
    <t>Лицензия: CC BY-NC-SA 3.0 IGO.</t>
  </si>
  <si>
    <t>Licencia: CC BY-NC-SA 3.0 IGO.</t>
  </si>
  <si>
    <t>Licence : CC BY-NC-SA 3.0 IGO.</t>
  </si>
  <si>
    <t>Для получения дополнительной информации свяжитесь с</t>
  </si>
  <si>
    <t>Para más información, por favor contactar a</t>
  </si>
  <si>
    <t>Pour plus d'informations, veuillez contacter</t>
  </si>
  <si>
    <t>For further information, please contact</t>
  </si>
  <si>
    <t>eulab@who.int</t>
  </si>
  <si>
    <t>Genomics costing tool: user manual, second edition. Geneva: World Health Organization; 2026.</t>
  </si>
  <si>
    <t>Инструмент оценки стоимости геномного секвенирования: руководство пользователя, второе издание. Женева: Всемирная организация здравоохранения; 2026 г.</t>
  </si>
  <si>
    <t>Herramienta de estimación de costos en genómica: manual de usuario, segunda edición. Ginebra: Organización Mundial de la Salud; 2026.</t>
  </si>
  <si>
    <t>Outil de calcul des coûts génomiques: manuel utilisateur, deuxième édition. Genève: Organisation mondiale de la santé; 2026.</t>
  </si>
  <si>
    <t>Genomics costing tool, second edition is an Excel-based interactive costing tool. Step-by-step guidance on how to use the tool for cost estimation can be found in the publication Genomics costing tool: user manual, second edition. Geneva: World Health Organization; 2026.</t>
  </si>
  <si>
    <t>Инструмент оценки стоимости геномного секвенирования, второе издание является интерактивным инструментом оценки стоимости на базе Excel. Пошаговые инструкции по использованию инструмента для оценки стоимости можно найти в публикации Инструмент оценки стоимости геномного секвенирования, второе издание.</t>
  </si>
  <si>
    <t>L'outil de calcul des coûts génomiques, deuxième édition est un outil interactif de calcul des coûts basé sur Excel. Des instructions détaillées sur son utilisation pour estimer les coûts sont disponibles dans la publication</t>
  </si>
  <si>
    <t>La herramienta de estimación de costos en genómica, segunda edición es una herramienta interactiva de cálculo de costos basada en Excel. Encontrará instrucciones paso a paso sobre cómo utilizar la herramienta para la estimación de costos en la publicación</t>
  </si>
  <si>
    <t>Please review the Genomics costing tool: user manual, second edition. Geneva: World Health Organization; 2026. https://iris.who.int/handle/10665/384933. Licence: CC BY-NC-SA 3.0 IGO. carefully before using this tool. The tool is completed in a series of steps:</t>
  </si>
  <si>
    <t>Внимательно ознакомьтесь с публикацией Инструмент оценки стоимости геномного секвенирования: руководство пользователя, второе издание. Женева: Всемирная организация здравоохранения; 2026 г. https://iris.who.int/handle/10665/384933. Лицензия: CC BY-NC-SA 3.0 IGO. перед использованием этого инструмента. Инструмент заполняется в несколько шагов:</t>
  </si>
  <si>
    <t>Revise cuidadosamente la publicación Herramienta de estimación de costos en genómica: manual de usuario, segunda edición. Ginebra: Organización Mundial de la Salud; 2026. https://iris.who.int/handle/10665/384933. Licencia: CC BY-NC-SA 3.0 IGO. antes de utilizar esta herramienta. La herramienta se completa en una serie de pasos:</t>
  </si>
  <si>
    <t>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t>
  </si>
  <si>
    <t>Всемирная организация здравоохранения (ВОЗ) выражает благодарность многочисленным экспертам, внесшим вклад в разработку данного инструмента оценки стоимости.
В совместной разработке второго издания инструмента оценки стоимости геномного секвенирования и руководства пользователя принимали участие четыре учреждения: Агентство Соединенного Королевства по безопасности здоровья (UKHSA), Ассоциация лабораторий общественного здравоохранения (APHL), Всемирная организация здравоохранения (ВОЗ) и FIND.</t>
  </si>
  <si>
    <t>Avant de remplir cet outil, veuillez consulter attentivement la publication Outil de calcul des coûts génomiques: manuel utilisateur, deuxième édition. Genève: Organisation mondiale de la santé; 2026. https://iris.who.int/handle/10665/384933. Licence: CC BY-NC-SA 3.0 IGO. L’outil se remplit en plusieurs étapes:</t>
  </si>
  <si>
    <t>La Organización Mundial de la Salud (OMS) desea agradecer a las numerosas personas que contribuyeron a la elaboración de esta herramienta de estimación de costos.
La segunda edición de la Herramienta de estimación de costos en Genómica (GCT) y su manual de usuario fueron codesarrollados por cuatro instituciones: la Asociación de Laboratorios de Salud Pública (Association of Public Health Laboratories, APHL), FIND, la Agencia de Seguridad Sanitaria del Reino Unido (United Kingdom Health Security Agency, UKHSA) y la Organización Mundial de la Salud (OMS).</t>
  </si>
  <si>
    <t>L'Organisation mondiale de la santé (OMS) tient à remercier les nombreuses personnes qui ont contribué à l'élaboration de cet outil de сalcul des сoûts. 
La deuxième édition de l'Outil de Calcul des Coûts Génomiques (GCT) et son manuel d'utilisation ont été co-développés par quatre institutions : l'Association des laboratoires de santé publique (APHL), FIND, l'Agence britannique de sécurité sanitaire (UKHSA) et l'OMS.</t>
  </si>
  <si>
    <t>Salmonella spp.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</si>
</sst>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quot;$&quot;#,##0"/>
    <numFmt numFmtId="165" formatCode="_-[$$-409]* #,##0.00_ ;_-[$$-409]* \-#,##0.00\ ;_-[$$-409]* &quot;-&quot;??_ ;_-@_ "/>
    <numFmt numFmtId="166" formatCode="&quot;$&quot;#,##0.00;[Red]&quot;$&quot;#,##0.00"/>
    <numFmt numFmtId="167" formatCode="[$USD]\ #,##0"/>
    <numFmt numFmtId="168" formatCode="[$USD]\ #,##0.00"/>
    <numFmt numFmtId="169" formatCode="_-* #,##0_-;\-* #,##0_-;_-* &quot;-&quot;??_-;_-@_-"/>
    <numFmt numFmtId="170" formatCode="_(* #,##0_);_(* \(#,##0\);_(* &quot;-&quot;??_);_(@_)"/>
    <numFmt numFmtId="171" formatCode="0.000"/>
    <numFmt numFmtId="172" formatCode="_(* #,##0.00000_);_(* \(#,##0.00000\);_(* &quot;-&quot;??_);_(@_)"/>
    <numFmt numFmtId="173" formatCode="&quot;$&quot;#,##0.0"/>
    <numFmt numFmtId="174" formatCode="0.0%"/>
  </numFmts>
  <fonts count="8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1"/>
      <color rgb="FF000000"/>
      <name val="Calibri"/>
      <family val="2"/>
    </font>
    <font>
      <sz val="11"/>
      <color rgb="FF000000"/>
      <name val="Calibri"/>
      <family val="2"/>
      <scheme val="minor"/>
    </font>
    <font>
      <sz val="11"/>
      <name val="Calibri"/>
      <family val="2"/>
      <scheme val="minor"/>
    </font>
    <font>
      <sz val="12"/>
      <color theme="1"/>
      <name val="Calibri"/>
      <family val="2"/>
      <scheme val="minor"/>
    </font>
    <font>
      <sz val="10"/>
      <name val="Arial"/>
      <family val="2"/>
      <charset val="1"/>
    </font>
    <font>
      <sz val="11"/>
      <name val="Calibri"/>
      <family val="2"/>
    </font>
    <font>
      <sz val="11"/>
      <color rgb="FFFF0000"/>
      <name val="Calibri"/>
      <family val="2"/>
      <scheme val="minor"/>
    </font>
    <font>
      <sz val="11"/>
      <color theme="1"/>
      <name val="Calibri"/>
      <family val="2"/>
      <scheme val="minor"/>
    </font>
    <font>
      <sz val="12"/>
      <color rgb="FF444648"/>
      <name val="Calibri"/>
      <family val="2"/>
      <scheme val="minor"/>
    </font>
    <font>
      <sz val="12"/>
      <color rgb="FF3A3A3A"/>
      <name val="Calibri"/>
      <family val="2"/>
      <scheme val="minor"/>
    </font>
    <font>
      <sz val="12"/>
      <color theme="1"/>
      <name val="Calibri"/>
      <family val="2"/>
    </font>
    <font>
      <sz val="11"/>
      <color theme="4"/>
      <name val="Calibri"/>
      <family val="2"/>
      <scheme val="minor"/>
    </font>
    <font>
      <sz val="11"/>
      <color theme="1"/>
      <name val="Calibri"/>
      <family val="2"/>
    </font>
    <font>
      <b/>
      <sz val="11"/>
      <color theme="1"/>
      <name val="Calibri"/>
      <family val="2"/>
    </font>
    <font>
      <b/>
      <sz val="11"/>
      <name val="Calibri"/>
      <family val="2"/>
      <scheme val="minor"/>
    </font>
    <font>
      <i/>
      <sz val="9"/>
      <color rgb="FFFF0000"/>
      <name val="Calibri"/>
      <family val="2"/>
      <scheme val="minor"/>
    </font>
    <font>
      <sz val="9"/>
      <color rgb="FFFF0000"/>
      <name val="Calibri"/>
      <family val="2"/>
      <scheme val="minor"/>
    </font>
    <font>
      <sz val="12"/>
      <name val="Calibri"/>
      <family val="2"/>
      <scheme val="minor"/>
    </font>
    <font>
      <sz val="10"/>
      <name val="Arial"/>
      <family val="2"/>
    </font>
    <font>
      <b/>
      <sz val="11"/>
      <color theme="0"/>
      <name val="Calibri (Body)"/>
    </font>
    <font>
      <sz val="11"/>
      <color rgb="FFC00000"/>
      <name val="Calibri"/>
      <family val="2"/>
      <scheme val="minor"/>
    </font>
    <font>
      <b/>
      <sz val="10"/>
      <name val="Arial"/>
      <family val="2"/>
    </font>
    <font>
      <b/>
      <sz val="11"/>
      <color rgb="FFFFFFFF"/>
      <name val="Calibri"/>
      <family val="2"/>
      <scheme val="minor"/>
    </font>
    <font>
      <b/>
      <sz val="11"/>
      <color rgb="FFFFFFFF"/>
      <name val="Calibri"/>
      <family val="2"/>
    </font>
    <font>
      <b/>
      <sz val="12"/>
      <color theme="0"/>
      <name val="Calibri"/>
      <family val="2"/>
      <scheme val="minor"/>
    </font>
    <font>
      <i/>
      <sz val="11"/>
      <color theme="1"/>
      <name val="Calibri"/>
      <family val="2"/>
      <scheme val="minor"/>
    </font>
    <font>
      <i/>
      <sz val="11"/>
      <color rgb="FF9C5700"/>
      <name val="Calibri"/>
      <family val="2"/>
      <scheme val="minor"/>
    </font>
    <font>
      <i/>
      <sz val="11"/>
      <name val="Calibri"/>
      <family val="2"/>
      <scheme val="minor"/>
    </font>
    <font>
      <i/>
      <sz val="11"/>
      <color rgb="FF000000"/>
      <name val="Calibri"/>
      <family val="2"/>
      <scheme val="minor"/>
    </font>
    <font>
      <i/>
      <sz val="11"/>
      <color rgb="FFC00000"/>
      <name val="Calibri"/>
      <family val="2"/>
      <scheme val="minor"/>
    </font>
    <font>
      <i/>
      <sz val="9"/>
      <color theme="2" tint="-0.749992370372631"/>
      <name val="Calibri"/>
      <family val="2"/>
      <scheme val="minor"/>
    </font>
    <font>
      <b/>
      <i/>
      <sz val="11"/>
      <color theme="2" tint="-0.749992370372631"/>
      <name val="Calibri"/>
      <family val="2"/>
      <scheme val="minor"/>
    </font>
    <font>
      <b/>
      <i/>
      <sz val="10"/>
      <color theme="0"/>
      <name val="Calibri"/>
      <family val="2"/>
      <scheme val="minor"/>
    </font>
    <font>
      <i/>
      <sz val="11"/>
      <color theme="0"/>
      <name val="Calibri"/>
      <family val="2"/>
      <scheme val="minor"/>
    </font>
    <font>
      <i/>
      <sz val="10"/>
      <color theme="0"/>
      <name val="Calibri"/>
      <family val="2"/>
      <scheme val="minor"/>
    </font>
    <font>
      <i/>
      <sz val="9"/>
      <color theme="0"/>
      <name val="Calibri"/>
      <family val="2"/>
      <scheme val="minor"/>
    </font>
    <font>
      <sz val="11"/>
      <color rgb="FF00B050"/>
      <name val="Calibri"/>
      <family val="2"/>
      <scheme val="minor"/>
    </font>
    <font>
      <b/>
      <sz val="11"/>
      <color rgb="FF000000"/>
      <name val="Calibri"/>
      <family val="2"/>
    </font>
    <font>
      <sz val="11"/>
      <color rgb="FFFF0000"/>
      <name val="Calibri"/>
      <family val="2"/>
    </font>
    <font>
      <sz val="10"/>
      <color rgb="FFFF0000"/>
      <name val="Arial"/>
      <family val="2"/>
      <charset val="1"/>
    </font>
    <font>
      <b/>
      <i/>
      <sz val="9"/>
      <color theme="2" tint="-0.749992370372631"/>
      <name val="Calibri"/>
      <family val="2"/>
      <scheme val="minor"/>
    </font>
    <font>
      <b/>
      <sz val="9"/>
      <color theme="0"/>
      <name val="Calibri"/>
      <family val="2"/>
      <scheme val="minor"/>
    </font>
    <font>
      <u/>
      <sz val="11"/>
      <color theme="10"/>
      <name val="Calibri"/>
      <family val="2"/>
      <scheme val="minor"/>
    </font>
    <font>
      <b/>
      <i/>
      <sz val="11"/>
      <color rgb="FF000000"/>
      <name val="Calibri"/>
      <family val="2"/>
      <scheme val="minor"/>
    </font>
    <font>
      <b/>
      <sz val="12"/>
      <name val="Calibri"/>
      <family val="2"/>
      <scheme val="minor"/>
    </font>
    <font>
      <b/>
      <sz val="11"/>
      <color rgb="FF000000"/>
      <name val="Calibri"/>
      <family val="2"/>
      <scheme val="minor"/>
    </font>
    <font>
      <i/>
      <sz val="11"/>
      <color theme="1" tint="0.499984740745262"/>
      <name val="Calibri"/>
      <family val="2"/>
      <scheme val="minor"/>
    </font>
    <font>
      <sz val="11"/>
      <color rgb="FFFF0000"/>
      <name val="Aptos Narrow"/>
      <family val="2"/>
    </font>
    <font>
      <i/>
      <sz val="11"/>
      <color rgb="FF000000"/>
      <name val="Calibri"/>
      <family val="2"/>
    </font>
    <font>
      <i/>
      <sz val="11"/>
      <color rgb="FFFF0000"/>
      <name val="Calibri"/>
      <family val="2"/>
      <scheme val="minor"/>
    </font>
    <font>
      <u/>
      <sz val="12"/>
      <color theme="1"/>
      <name val="Arial"/>
      <family val="2"/>
    </font>
    <font>
      <b/>
      <sz val="11"/>
      <name val="Calibri"/>
      <family val="2"/>
    </font>
    <font>
      <b/>
      <sz val="11"/>
      <color rgb="FFFF0000"/>
      <name val="Calibri"/>
      <family val="2"/>
      <scheme val="minor"/>
    </font>
    <font>
      <b/>
      <sz val="12"/>
      <color theme="1"/>
      <name val="Calibri"/>
      <family val="2"/>
      <scheme val="minor"/>
    </font>
    <font>
      <b/>
      <sz val="8"/>
      <color rgb="FF00B050"/>
      <name val="Calibri"/>
      <family val="2"/>
      <scheme val="minor"/>
    </font>
    <font>
      <sz val="10"/>
      <color theme="1"/>
      <name val="Arial"/>
      <family val="2"/>
    </font>
    <font>
      <i/>
      <u/>
      <sz val="11"/>
      <color rgb="FF000000"/>
      <name val="Calibri"/>
      <family val="2"/>
      <scheme val="minor"/>
    </font>
    <font>
      <strike/>
      <sz val="11"/>
      <color theme="1"/>
      <name val="Calibri"/>
      <family val="2"/>
      <scheme val="minor"/>
    </font>
    <font>
      <sz val="10"/>
      <color rgb="FFFF0000"/>
      <name val="Arial"/>
      <family val="2"/>
    </font>
    <font>
      <sz val="10"/>
      <color theme="1"/>
      <name val="Arial"/>
      <family val="2"/>
      <charset val="1"/>
    </font>
    <font>
      <b/>
      <i/>
      <sz val="11"/>
      <name val="Calibri"/>
      <family val="2"/>
    </font>
    <font>
      <b/>
      <i/>
      <sz val="11"/>
      <color rgb="FF000000"/>
      <name val="Calibri"/>
      <family val="2"/>
    </font>
    <font>
      <sz val="11"/>
      <color theme="1"/>
      <name val="Calibri"/>
      <family val="2"/>
      <charset val="1"/>
    </font>
    <font>
      <sz val="11"/>
      <color theme="5"/>
      <name val="Calibri"/>
      <family val="2"/>
      <scheme val="minor"/>
    </font>
    <font>
      <sz val="11"/>
      <color rgb="FF4C4A48"/>
      <name val="Calibri"/>
      <family val="2"/>
      <scheme val="minor"/>
    </font>
    <font>
      <sz val="11"/>
      <color theme="5"/>
      <name val="Calibri"/>
      <family val="2"/>
    </font>
    <font>
      <sz val="11"/>
      <color rgb="FFED7D31"/>
      <name val="Calibri"/>
      <family val="2"/>
    </font>
    <font>
      <b/>
      <sz val="11"/>
      <color rgb="FFFF0000"/>
      <name val="Calibri"/>
      <family val="2"/>
    </font>
    <font>
      <sz val="11"/>
      <color rgb="FFED7D31"/>
      <name val="Calibri"/>
      <family val="2"/>
      <scheme val="minor"/>
    </font>
    <font>
      <i/>
      <strike/>
      <sz val="11"/>
      <color theme="1"/>
      <name val="Calibri"/>
      <family val="2"/>
      <scheme val="minor"/>
    </font>
    <font>
      <b/>
      <sz val="24"/>
      <color theme="1"/>
      <name val="Calibri"/>
      <family val="2"/>
      <scheme val="minor"/>
    </font>
    <font>
      <sz val="11"/>
      <color rgb="FF242424"/>
      <name val="Calibri"/>
      <family val="2"/>
      <scheme val="minor"/>
    </font>
    <font>
      <u/>
      <sz val="11"/>
      <color theme="1"/>
      <name val="Calibri"/>
      <family val="2"/>
      <scheme val="minor"/>
    </font>
    <font>
      <sz val="9"/>
      <color indexed="81"/>
      <name val="Tahoma"/>
      <charset val="1"/>
    </font>
  </fonts>
  <fills count="32">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4"/>
        <bgColor theme="4"/>
      </patternFill>
    </fill>
    <fill>
      <patternFill patternType="solid">
        <fgColor theme="1"/>
        <bgColor theme="4"/>
      </patternFill>
    </fill>
    <fill>
      <patternFill patternType="solid">
        <fgColor rgb="FF00B050"/>
        <bgColor indexed="64"/>
      </patternFill>
    </fill>
    <fill>
      <patternFill patternType="solid">
        <fgColor theme="0" tint="-0.34998626667073579"/>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FCCCC"/>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9"/>
        <bgColor indexed="64"/>
      </patternFill>
    </fill>
    <fill>
      <patternFill patternType="solid">
        <fgColor theme="0"/>
        <bgColor indexed="64"/>
      </patternFill>
    </fill>
    <fill>
      <patternFill patternType="solid">
        <fgColor rgb="FFC000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39997558519241921"/>
        <bgColor indexed="64"/>
      </patternFill>
    </fill>
  </fills>
  <borders count="1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thin">
        <color indexed="64"/>
      </top>
      <bottom/>
      <diagonal/>
    </border>
    <border>
      <left/>
      <right/>
      <top style="medium">
        <color indexed="64"/>
      </top>
      <bottom/>
      <diagonal/>
    </border>
    <border>
      <left style="medium">
        <color rgb="FF000000"/>
      </left>
      <right style="thin">
        <color indexed="64"/>
      </right>
      <top style="medium">
        <color rgb="FF000000"/>
      </top>
      <bottom style="medium">
        <color rgb="FF000000"/>
      </bottom>
      <diagonal/>
    </border>
    <border>
      <left/>
      <right style="thin">
        <color indexed="64"/>
      </right>
      <top style="thin">
        <color indexed="64"/>
      </top>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indexed="64"/>
      </left>
      <right/>
      <top style="medium">
        <color indexed="64"/>
      </top>
      <bottom style="thin">
        <color theme="0"/>
      </bottom>
      <diagonal/>
    </border>
    <border>
      <left style="medium">
        <color indexed="64"/>
      </left>
      <right/>
      <top style="thin">
        <color theme="0"/>
      </top>
      <bottom style="thin">
        <color theme="0"/>
      </bottom>
      <diagonal/>
    </border>
    <border>
      <left style="medium">
        <color theme="1"/>
      </left>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top/>
      <bottom style="medium">
        <color theme="1"/>
      </bottom>
      <diagonal/>
    </border>
    <border>
      <left style="thin">
        <color theme="0"/>
      </left>
      <right style="medium">
        <color theme="1"/>
      </right>
      <top style="thin">
        <color theme="0"/>
      </top>
      <bottom style="medium">
        <color theme="1"/>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medium">
        <color theme="1"/>
      </right>
      <top/>
      <bottom style="medium">
        <color theme="1"/>
      </bottom>
      <diagonal/>
    </border>
    <border>
      <left/>
      <right/>
      <top style="thin">
        <color theme="0"/>
      </top>
      <bottom style="thin">
        <color indexed="64"/>
      </bottom>
      <diagonal/>
    </border>
    <border>
      <left style="thin">
        <color theme="0"/>
      </left>
      <right style="medium">
        <color rgb="FF000000"/>
      </right>
      <top style="medium">
        <color rgb="FF000000"/>
      </top>
      <bottom style="medium">
        <color rgb="FF000000"/>
      </bottom>
      <diagonal/>
    </border>
    <border>
      <left style="thin">
        <color indexed="64"/>
      </left>
      <right style="thin">
        <color theme="0"/>
      </right>
      <top style="thin">
        <color indexed="64"/>
      </top>
      <bottom style="medium">
        <color rgb="FF000000"/>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theme="0"/>
      </top>
      <bottom/>
      <diagonal/>
    </border>
    <border>
      <left/>
      <right style="medium">
        <color rgb="FF000000"/>
      </right>
      <top style="medium">
        <color rgb="FF000000"/>
      </top>
      <bottom style="medium">
        <color rgb="FF00000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0"/>
      </left>
      <right/>
      <top style="thin">
        <color theme="0"/>
      </top>
      <bottom/>
      <diagonal/>
    </border>
    <border>
      <left/>
      <right style="thin">
        <color theme="0"/>
      </right>
      <top style="thin">
        <color theme="0"/>
      </top>
      <bottom/>
      <diagonal/>
    </border>
    <border>
      <left style="thin">
        <color rgb="FF000000"/>
      </left>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style="thin">
        <color indexed="64"/>
      </left>
      <right style="thin">
        <color indexed="64"/>
      </right>
      <top style="thin">
        <color theme="4" tint="0.39997558519241921"/>
      </top>
      <bottom/>
      <diagonal/>
    </border>
    <border>
      <left style="thin">
        <color theme="4" tint="0.39997558519241921"/>
      </left>
      <right style="thin">
        <color theme="4" tint="0.39997558519241921"/>
      </right>
      <top/>
      <bottom/>
      <diagonal/>
    </border>
    <border>
      <left style="thin">
        <color indexed="64"/>
      </left>
      <right/>
      <top style="thin">
        <color theme="0"/>
      </top>
      <bottom/>
      <diagonal/>
    </border>
    <border>
      <left style="thin">
        <color indexed="64"/>
      </left>
      <right style="thin">
        <color indexed="64"/>
      </right>
      <top style="thin">
        <color theme="0"/>
      </top>
      <bottom/>
      <diagonal/>
    </border>
    <border>
      <left style="thin">
        <color indexed="64"/>
      </left>
      <right/>
      <top style="thin">
        <color indexed="64"/>
      </top>
      <bottom style="thin">
        <color theme="4" tint="0.39997558519241921"/>
      </bottom>
      <diagonal/>
    </border>
    <border>
      <left style="medium">
        <color indexed="64"/>
      </left>
      <right/>
      <top style="thin">
        <color theme="0"/>
      </top>
      <bottom style="thin">
        <color theme="4" tint="0.39997558519241921"/>
      </bottom>
      <diagonal/>
    </border>
    <border>
      <left style="medium">
        <color indexed="64"/>
      </left>
      <right style="medium">
        <color indexed="64"/>
      </right>
      <top style="thin">
        <color theme="0"/>
      </top>
      <bottom style="thin">
        <color theme="4" tint="0.39997558519241921"/>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medium">
        <color theme="1"/>
      </left>
      <right/>
      <top style="thin">
        <color theme="0"/>
      </top>
      <bottom style="medium">
        <color theme="1"/>
      </bottom>
      <diagonal/>
    </border>
    <border>
      <left/>
      <right/>
      <top style="thin">
        <color theme="0"/>
      </top>
      <bottom style="medium">
        <color theme="1"/>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theme="4" tint="0.39997558519241921"/>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theme="4" tint="0.39997558519241921"/>
      </top>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top style="thin">
        <color rgb="FF000000"/>
      </top>
      <bottom style="medium">
        <color rgb="FF000000"/>
      </bottom>
      <diagonal/>
    </border>
    <border>
      <left style="thin">
        <color theme="0"/>
      </left>
      <right/>
      <top/>
      <bottom/>
      <diagonal/>
    </border>
    <border>
      <left/>
      <right style="medium">
        <color rgb="FF000000"/>
      </right>
      <top/>
      <bottom/>
      <diagonal/>
    </border>
    <border>
      <left style="thin">
        <color rgb="FFCCCCCC"/>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theme="1"/>
      </left>
      <right/>
      <top/>
      <bottom style="thin">
        <color theme="0"/>
      </bottom>
      <diagonal/>
    </border>
    <border>
      <left/>
      <right style="medium">
        <color theme="1"/>
      </right>
      <top/>
      <bottom style="thin">
        <color theme="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theme="0"/>
      </top>
      <bottom style="medium">
        <color indexed="64"/>
      </bottom>
      <diagonal/>
    </border>
    <border>
      <left style="thin">
        <color rgb="FF000000"/>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theme="0"/>
      </bottom>
      <diagonal/>
    </border>
    <border>
      <left style="thin">
        <color theme="0"/>
      </left>
      <right style="medium">
        <color rgb="FF000000"/>
      </right>
      <top/>
      <bottom style="medium">
        <color rgb="FF000000"/>
      </bottom>
      <diagonal/>
    </border>
    <border>
      <left style="thin">
        <color indexed="64"/>
      </left>
      <right style="thin">
        <color indexed="64"/>
      </right>
      <top style="thin">
        <color indexed="64"/>
      </top>
      <bottom style="thin">
        <color theme="0"/>
      </bottom>
      <diagonal/>
    </border>
    <border>
      <left style="medium">
        <color theme="1"/>
      </left>
      <right/>
      <top style="medium">
        <color theme="1"/>
      </top>
      <bottom/>
      <diagonal/>
    </border>
    <border>
      <left/>
      <right/>
      <top style="medium">
        <color theme="1"/>
      </top>
      <bottom/>
      <diagonal/>
    </border>
    <border>
      <left/>
      <right style="thin">
        <color indexed="64"/>
      </right>
      <top style="thin">
        <color theme="0"/>
      </top>
      <bottom style="thin">
        <color theme="0"/>
      </bottom>
      <diagonal/>
    </border>
    <border>
      <left style="thin">
        <color indexed="64"/>
      </left>
      <right style="medium">
        <color theme="1"/>
      </right>
      <top style="thin">
        <color theme="0"/>
      </top>
      <bottom style="thin">
        <color theme="0"/>
      </bottom>
      <diagonal/>
    </border>
    <border>
      <left/>
      <right/>
      <top style="thin">
        <color indexed="64"/>
      </top>
      <bottom style="thin">
        <color theme="0"/>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theme="1"/>
      </left>
      <right style="thin">
        <color theme="0"/>
      </right>
      <top style="thin">
        <color theme="0"/>
      </top>
      <bottom style="thin">
        <color theme="0"/>
      </bottom>
      <diagonal/>
    </border>
    <border>
      <left/>
      <right style="thin">
        <color theme="0"/>
      </right>
      <top style="medium">
        <color theme="1"/>
      </top>
      <bottom/>
      <diagonal/>
    </border>
    <border>
      <left/>
      <right/>
      <top/>
      <bottom style="thin">
        <color theme="0"/>
      </bottom>
      <diagonal/>
    </border>
  </borders>
  <cellStyleXfs count="8">
    <xf numFmtId="0" fontId="0" fillId="0" borderId="0"/>
    <xf numFmtId="0" fontId="5" fillId="3" borderId="0" applyNumberFormat="0" applyBorder="0" applyAlignment="0" applyProtection="0"/>
    <xf numFmtId="0" fontId="6" fillId="4" borderId="0" applyNumberFormat="0" applyBorder="0" applyAlignment="0" applyProtection="0"/>
    <xf numFmtId="0" fontId="7" fillId="5" borderId="0" applyNumberFormat="0" applyBorder="0" applyAlignment="0" applyProtection="0"/>
    <xf numFmtId="0" fontId="9" fillId="0" borderId="0"/>
    <xf numFmtId="44" fontId="16" fillId="0" borderId="0" applyFont="0" applyFill="0" applyBorder="0" applyAlignment="0" applyProtection="0"/>
    <xf numFmtId="43" fontId="16" fillId="0" borderId="0" applyFont="0" applyFill="0" applyBorder="0" applyAlignment="0" applyProtection="0"/>
    <xf numFmtId="0" fontId="51" fillId="0" borderId="0" applyNumberFormat="0" applyFill="0" applyBorder="0" applyAlignment="0" applyProtection="0"/>
  </cellStyleXfs>
  <cellXfs count="861">
    <xf numFmtId="0" fontId="0" fillId="0" borderId="0" xfId="0"/>
    <xf numFmtId="0" fontId="3" fillId="0" borderId="1" xfId="0" applyFont="1" applyBorder="1"/>
    <xf numFmtId="0" fontId="0" fillId="0" borderId="1" xfId="0" applyBorder="1"/>
    <xf numFmtId="0" fontId="3" fillId="0" borderId="0" xfId="0" applyFont="1"/>
    <xf numFmtId="0" fontId="0" fillId="0" borderId="1" xfId="0" applyBorder="1" applyAlignment="1">
      <alignment wrapText="1"/>
    </xf>
    <xf numFmtId="0" fontId="12" fillId="0" borderId="1" xfId="0" applyFont="1" applyBorder="1" applyAlignment="1">
      <alignment wrapText="1"/>
    </xf>
    <xf numFmtId="0" fontId="0" fillId="0" borderId="0" xfId="0" applyAlignment="1">
      <alignment wrapText="1"/>
    </xf>
    <xf numFmtId="0" fontId="0" fillId="0" borderId="0" xfId="0" applyAlignment="1">
      <alignment vertical="top" wrapText="1"/>
    </xf>
    <xf numFmtId="0" fontId="15" fillId="0" borderId="0" xfId="0" applyFont="1"/>
    <xf numFmtId="0" fontId="10" fillId="0" borderId="0" xfId="0" applyFont="1"/>
    <xf numFmtId="0" fontId="13" fillId="0" borderId="1" xfId="0" applyFont="1" applyBorder="1" applyAlignment="1">
      <alignment horizontal="left" wrapText="1"/>
    </xf>
    <xf numFmtId="0" fontId="13" fillId="0" borderId="1" xfId="0" applyFont="1" applyBorder="1" applyAlignment="1">
      <alignment horizontal="right" wrapText="1"/>
    </xf>
    <xf numFmtId="0" fontId="3" fillId="0" borderId="1" xfId="0" applyFont="1" applyBorder="1" applyAlignment="1">
      <alignment horizontal="left"/>
    </xf>
    <xf numFmtId="0" fontId="0" fillId="0" borderId="0" xfId="0" applyAlignment="1">
      <alignment horizontal="right"/>
    </xf>
    <xf numFmtId="0" fontId="0" fillId="0" borderId="1" xfId="0" applyBorder="1" applyAlignment="1">
      <alignment horizontal="left"/>
    </xf>
    <xf numFmtId="0" fontId="0" fillId="0" borderId="0" xfId="0" applyAlignment="1">
      <alignment horizontal="left"/>
    </xf>
    <xf numFmtId="0" fontId="12" fillId="0" borderId="1" xfId="0" applyFont="1" applyBorder="1" applyAlignment="1">
      <alignment horizontal="left"/>
    </xf>
    <xf numFmtId="0" fontId="17" fillId="0" borderId="1" xfId="0" applyFont="1" applyBorder="1" applyAlignment="1">
      <alignment horizontal="left"/>
    </xf>
    <xf numFmtId="0" fontId="18" fillId="0" borderId="1" xfId="0" applyFont="1" applyBorder="1" applyAlignment="1">
      <alignment horizontal="left"/>
    </xf>
    <xf numFmtId="0" fontId="0" fillId="9" borderId="1" xfId="0" applyFill="1" applyBorder="1"/>
    <xf numFmtId="0" fontId="19" fillId="0" borderId="1" xfId="0" applyFont="1" applyBorder="1" applyAlignment="1">
      <alignment wrapText="1"/>
    </xf>
    <xf numFmtId="0" fontId="20" fillId="0" borderId="0" xfId="0" applyFont="1"/>
    <xf numFmtId="0" fontId="0" fillId="0" borderId="19" xfId="0" applyBorder="1"/>
    <xf numFmtId="0" fontId="15" fillId="0" borderId="0" xfId="0" applyFont="1" applyAlignment="1">
      <alignment wrapText="1"/>
    </xf>
    <xf numFmtId="2" fontId="0" fillId="0" borderId="0" xfId="0" applyNumberFormat="1"/>
    <xf numFmtId="0" fontId="11" fillId="0" borderId="0" xfId="0" applyFont="1"/>
    <xf numFmtId="0" fontId="24" fillId="0" borderId="0" xfId="0" applyFont="1"/>
    <xf numFmtId="0" fontId="11" fillId="0" borderId="1" xfId="0" applyFont="1" applyBorder="1"/>
    <xf numFmtId="0" fontId="0" fillId="0" borderId="32" xfId="0" applyBorder="1" applyAlignment="1">
      <alignment horizontal="left"/>
    </xf>
    <xf numFmtId="0" fontId="0" fillId="0" borderId="0" xfId="0" applyAlignment="1">
      <alignment vertical="center" wrapText="1"/>
    </xf>
    <xf numFmtId="0" fontId="13" fillId="0" borderId="1" xfId="0" applyFont="1" applyBorder="1" applyAlignment="1">
      <alignment wrapText="1"/>
    </xf>
    <xf numFmtId="0" fontId="27" fillId="0" borderId="1" xfId="0" applyFont="1" applyBorder="1" applyAlignment="1">
      <alignment wrapText="1"/>
    </xf>
    <xf numFmtId="0" fontId="13" fillId="0" borderId="1" xfId="0" applyFont="1" applyBorder="1"/>
    <xf numFmtId="0" fontId="27" fillId="0" borderId="1"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wrapText="1"/>
    </xf>
    <xf numFmtId="0" fontId="11" fillId="0" borderId="1" xfId="0" applyFont="1" applyBorder="1" applyAlignment="1">
      <alignment horizontal="right"/>
    </xf>
    <xf numFmtId="0" fontId="11" fillId="0" borderId="0" xfId="0" applyFont="1" applyAlignment="1">
      <alignment wrapText="1"/>
    </xf>
    <xf numFmtId="0" fontId="29" fillId="0" borderId="0" xfId="0" applyFont="1"/>
    <xf numFmtId="0" fontId="23" fillId="0" borderId="0" xfId="0" applyFont="1" applyAlignment="1">
      <alignment wrapText="1"/>
    </xf>
    <xf numFmtId="0" fontId="30" fillId="0" borderId="0" xfId="0" applyFont="1" applyAlignment="1">
      <alignment wrapText="1"/>
    </xf>
    <xf numFmtId="0" fontId="2" fillId="2" borderId="11" xfId="0" applyFont="1" applyFill="1" applyBorder="1" applyAlignment="1">
      <alignment vertical="top" wrapText="1"/>
    </xf>
    <xf numFmtId="0" fontId="8" fillId="2" borderId="35" xfId="0" applyFont="1" applyFill="1" applyBorder="1" applyAlignment="1">
      <alignment wrapText="1"/>
    </xf>
    <xf numFmtId="0" fontId="8" fillId="2" borderId="56" xfId="0" applyFont="1" applyFill="1" applyBorder="1" applyAlignment="1">
      <alignment wrapText="1"/>
    </xf>
    <xf numFmtId="0" fontId="2" fillId="2" borderId="57" xfId="0" applyFont="1" applyFill="1" applyBorder="1"/>
    <xf numFmtId="0" fontId="2" fillId="2" borderId="58" xfId="0" applyFont="1" applyFill="1" applyBorder="1"/>
    <xf numFmtId="0" fontId="2" fillId="2" borderId="18" xfId="0" applyFont="1" applyFill="1" applyBorder="1"/>
    <xf numFmtId="0" fontId="2" fillId="2" borderId="59" xfId="0" applyFont="1" applyFill="1" applyBorder="1"/>
    <xf numFmtId="0" fontId="14" fillId="0" borderId="1" xfId="0" applyFont="1" applyBorder="1" applyAlignment="1">
      <alignment horizontal="right"/>
    </xf>
    <xf numFmtId="0" fontId="2" fillId="0" borderId="0" xfId="0" applyFont="1" applyAlignment="1">
      <alignment horizontal="center"/>
    </xf>
    <xf numFmtId="0" fontId="0" fillId="0" borderId="0" xfId="0" applyAlignment="1">
      <alignment vertical="center"/>
    </xf>
    <xf numFmtId="0" fontId="2" fillId="2" borderId="60" xfId="0" applyFont="1" applyFill="1" applyBorder="1" applyAlignment="1">
      <alignment horizontal="left"/>
    </xf>
    <xf numFmtId="0" fontId="2" fillId="2" borderId="0" xfId="0" applyFont="1" applyFill="1"/>
    <xf numFmtId="167" fontId="0" fillId="8" borderId="1" xfId="0" applyNumberFormat="1" applyFill="1" applyBorder="1"/>
    <xf numFmtId="168" fontId="0" fillId="8" borderId="1" xfId="0" applyNumberFormat="1" applyFill="1" applyBorder="1"/>
    <xf numFmtId="168" fontId="0" fillId="8" borderId="55" xfId="0" applyNumberFormat="1" applyFill="1" applyBorder="1"/>
    <xf numFmtId="167" fontId="0" fillId="8" borderId="64" xfId="0" applyNumberFormat="1" applyFill="1" applyBorder="1"/>
    <xf numFmtId="167" fontId="0" fillId="8" borderId="23" xfId="0" applyNumberFormat="1" applyFill="1" applyBorder="1"/>
    <xf numFmtId="167" fontId="8" fillId="2" borderId="24" xfId="0" applyNumberFormat="1" applyFont="1" applyFill="1" applyBorder="1"/>
    <xf numFmtId="168" fontId="8" fillId="2" borderId="10" xfId="0" applyNumberFormat="1" applyFont="1" applyFill="1" applyBorder="1"/>
    <xf numFmtId="168" fontId="0" fillId="8" borderId="21" xfId="0" applyNumberFormat="1" applyFill="1" applyBorder="1"/>
    <xf numFmtId="167" fontId="0" fillId="8" borderId="22" xfId="0" applyNumberFormat="1" applyFill="1" applyBorder="1"/>
    <xf numFmtId="0" fontId="0" fillId="0" borderId="1" xfId="0" applyBorder="1" applyAlignment="1">
      <alignment horizontal="right"/>
    </xf>
    <xf numFmtId="165" fontId="0" fillId="0" borderId="1" xfId="5" applyNumberFormat="1" applyFont="1" applyFill="1" applyBorder="1"/>
    <xf numFmtId="168" fontId="0" fillId="8" borderId="66" xfId="0" applyNumberFormat="1" applyFill="1" applyBorder="1"/>
    <xf numFmtId="0" fontId="0" fillId="13" borderId="1" xfId="0" applyFill="1" applyBorder="1"/>
    <xf numFmtId="165" fontId="0" fillId="0" borderId="0" xfId="5" applyNumberFormat="1" applyFont="1" applyFill="1" applyBorder="1"/>
    <xf numFmtId="165" fontId="0" fillId="0" borderId="1" xfId="5" applyNumberFormat="1" applyFont="1" applyFill="1" applyBorder="1" applyAlignment="1">
      <alignment horizontal="right"/>
    </xf>
    <xf numFmtId="168" fontId="0" fillId="0" borderId="19" xfId="0" applyNumberFormat="1" applyBorder="1"/>
    <xf numFmtId="168" fontId="0" fillId="0" borderId="19" xfId="5" applyNumberFormat="1" applyFont="1" applyBorder="1"/>
    <xf numFmtId="0" fontId="34" fillId="13" borderId="1" xfId="0" applyFont="1" applyFill="1" applyBorder="1"/>
    <xf numFmtId="9" fontId="0" fillId="0" borderId="0" xfId="0" applyNumberFormat="1"/>
    <xf numFmtId="168" fontId="0" fillId="0" borderId="0" xfId="0" applyNumberFormat="1"/>
    <xf numFmtId="168" fontId="0" fillId="8" borderId="47" xfId="2" applyNumberFormat="1" applyFont="1" applyFill="1" applyBorder="1"/>
    <xf numFmtId="1" fontId="8" fillId="15" borderId="1" xfId="0" applyNumberFormat="1" applyFont="1" applyFill="1" applyBorder="1"/>
    <xf numFmtId="1" fontId="0" fillId="0" borderId="0" xfId="0" applyNumberFormat="1"/>
    <xf numFmtId="167" fontId="0" fillId="8" borderId="9" xfId="0" applyNumberFormat="1" applyFill="1" applyBorder="1"/>
    <xf numFmtId="1" fontId="39" fillId="0" borderId="0" xfId="0" applyNumberFormat="1" applyFont="1" applyAlignment="1">
      <alignment horizontal="center"/>
    </xf>
    <xf numFmtId="1" fontId="0" fillId="2" borderId="0" xfId="0" applyNumberFormat="1" applyFill="1"/>
    <xf numFmtId="168" fontId="0" fillId="8" borderId="9" xfId="0" applyNumberFormat="1" applyFill="1" applyBorder="1"/>
    <xf numFmtId="1" fontId="8" fillId="15" borderId="73" xfId="0" applyNumberFormat="1" applyFont="1" applyFill="1" applyBorder="1"/>
    <xf numFmtId="0" fontId="2" fillId="2" borderId="39" xfId="0" applyFont="1" applyFill="1" applyBorder="1" applyAlignment="1">
      <alignment vertical="top" wrapText="1"/>
    </xf>
    <xf numFmtId="0" fontId="2" fillId="2" borderId="28" xfId="0" applyFont="1" applyFill="1" applyBorder="1" applyAlignment="1">
      <alignment vertical="top" wrapText="1"/>
    </xf>
    <xf numFmtId="168" fontId="0" fillId="8" borderId="19" xfId="0" applyNumberFormat="1" applyFill="1" applyBorder="1"/>
    <xf numFmtId="1" fontId="8" fillId="15" borderId="1" xfId="6" applyNumberFormat="1" applyFont="1" applyFill="1" applyBorder="1"/>
    <xf numFmtId="0" fontId="0" fillId="0" borderId="0" xfId="0" applyAlignment="1">
      <alignment horizontal="left" vertical="top" wrapText="1"/>
    </xf>
    <xf numFmtId="0" fontId="2" fillId="2" borderId="77" xfId="0" applyFont="1" applyFill="1" applyBorder="1"/>
    <xf numFmtId="0" fontId="0" fillId="6" borderId="40" xfId="0" applyFill="1" applyBorder="1" applyAlignment="1" applyProtection="1">
      <alignment horizontal="right"/>
      <protection locked="0"/>
    </xf>
    <xf numFmtId="167" fontId="0" fillId="8" borderId="19" xfId="0" applyNumberFormat="1" applyFill="1" applyBorder="1"/>
    <xf numFmtId="0" fontId="8" fillId="2" borderId="44" xfId="0" applyFont="1" applyFill="1" applyBorder="1" applyAlignment="1">
      <alignment wrapText="1"/>
    </xf>
    <xf numFmtId="0" fontId="0" fillId="6" borderId="1" xfId="0" applyFill="1" applyBorder="1" applyProtection="1">
      <protection locked="0"/>
    </xf>
    <xf numFmtId="167" fontId="0" fillId="6" borderId="1" xfId="0" applyNumberFormat="1" applyFill="1" applyBorder="1" applyProtection="1">
      <protection locked="0"/>
    </xf>
    <xf numFmtId="167" fontId="0" fillId="6" borderId="9" xfId="0" applyNumberFormat="1" applyFill="1" applyBorder="1" applyProtection="1">
      <protection locked="0"/>
    </xf>
    <xf numFmtId="167" fontId="0" fillId="6" borderId="36" xfId="0" applyNumberFormat="1" applyFill="1" applyBorder="1" applyProtection="1">
      <protection locked="0"/>
    </xf>
    <xf numFmtId="167" fontId="0" fillId="6" borderId="26" xfId="0" applyNumberFormat="1" applyFill="1" applyBorder="1" applyProtection="1">
      <protection locked="0"/>
    </xf>
    <xf numFmtId="0" fontId="0" fillId="6" borderId="26" xfId="0" applyFill="1" applyBorder="1" applyProtection="1">
      <protection locked="0"/>
    </xf>
    <xf numFmtId="0" fontId="0" fillId="6" borderId="71" xfId="0" applyFill="1" applyBorder="1" applyProtection="1">
      <protection locked="0"/>
    </xf>
    <xf numFmtId="0" fontId="0" fillId="6" borderId="70" xfId="0" applyFill="1" applyBorder="1" applyProtection="1">
      <protection locked="0"/>
    </xf>
    <xf numFmtId="0" fontId="0" fillId="6" borderId="19" xfId="0" applyFill="1" applyBorder="1" applyProtection="1">
      <protection locked="0"/>
    </xf>
    <xf numFmtId="0" fontId="8" fillId="0" borderId="0" xfId="0" applyFont="1"/>
    <xf numFmtId="0" fontId="0" fillId="0" borderId="25" xfId="0" applyBorder="1" applyAlignment="1">
      <alignment horizontal="right"/>
    </xf>
    <xf numFmtId="0" fontId="2" fillId="2" borderId="0" xfId="0" applyFont="1" applyFill="1" applyAlignment="1">
      <alignment horizontal="center" vertical="center" wrapText="1"/>
    </xf>
    <xf numFmtId="1" fontId="0" fillId="0" borderId="0" xfId="0" applyNumberFormat="1" applyAlignment="1">
      <alignment vertical="center"/>
    </xf>
    <xf numFmtId="0" fontId="2" fillId="2" borderId="38" xfId="0" applyFont="1" applyFill="1" applyBorder="1" applyAlignment="1">
      <alignment horizontal="center" vertical="center" wrapText="1"/>
    </xf>
    <xf numFmtId="1" fontId="42" fillId="2" borderId="0" xfId="0" applyNumberFormat="1" applyFont="1" applyFill="1" applyAlignment="1">
      <alignment vertical="center" wrapText="1"/>
    </xf>
    <xf numFmtId="0" fontId="0" fillId="6" borderId="26" xfId="0" applyFill="1" applyBorder="1" applyAlignment="1" applyProtection="1">
      <alignment wrapText="1"/>
      <protection locked="0"/>
    </xf>
    <xf numFmtId="0" fontId="0" fillId="6" borderId="7" xfId="0" applyFill="1" applyBorder="1" applyProtection="1">
      <protection locked="0"/>
    </xf>
    <xf numFmtId="0" fontId="0" fillId="6" borderId="35" xfId="0" applyFill="1" applyBorder="1" applyProtection="1">
      <protection locked="0"/>
    </xf>
    <xf numFmtId="0" fontId="11" fillId="6" borderId="26" xfId="0" applyFont="1" applyFill="1" applyBorder="1" applyAlignment="1" applyProtection="1">
      <alignment horizontal="right"/>
      <protection locked="0"/>
    </xf>
    <xf numFmtId="0" fontId="0" fillId="6" borderId="1" xfId="0" applyFill="1" applyBorder="1" applyAlignment="1" applyProtection="1">
      <alignment wrapText="1"/>
      <protection locked="0"/>
    </xf>
    <xf numFmtId="0" fontId="0" fillId="2" borderId="0" xfId="0" applyFill="1"/>
    <xf numFmtId="0" fontId="23" fillId="0" borderId="0" xfId="0" applyFont="1"/>
    <xf numFmtId="166" fontId="11" fillId="0" borderId="0" xfId="0" applyNumberFormat="1" applyFont="1"/>
    <xf numFmtId="0" fontId="2" fillId="2" borderId="26" xfId="0" applyFont="1" applyFill="1" applyBorder="1" applyAlignment="1">
      <alignment wrapText="1"/>
    </xf>
    <xf numFmtId="0" fontId="2" fillId="2" borderId="75" xfId="0" applyFont="1" applyFill="1" applyBorder="1"/>
    <xf numFmtId="0" fontId="2" fillId="2" borderId="76" xfId="0" applyFont="1" applyFill="1" applyBorder="1"/>
    <xf numFmtId="0" fontId="38" fillId="0" borderId="0" xfId="0" applyFont="1"/>
    <xf numFmtId="0" fontId="34" fillId="0" borderId="0" xfId="0" applyFont="1"/>
    <xf numFmtId="0" fontId="2" fillId="2" borderId="0" xfId="0" applyFont="1" applyFill="1" applyAlignment="1">
      <alignment horizontal="center" wrapText="1"/>
    </xf>
    <xf numFmtId="0" fontId="2" fillId="2" borderId="42" xfId="0" applyFont="1" applyFill="1" applyBorder="1" applyAlignment="1">
      <alignment horizontal="left" vertical="center" wrapText="1"/>
    </xf>
    <xf numFmtId="0" fontId="2" fillId="2" borderId="43" xfId="0" applyFont="1" applyFill="1" applyBorder="1" applyAlignment="1">
      <alignment horizontal="left" vertical="center" wrapText="1"/>
    </xf>
    <xf numFmtId="0" fontId="8" fillId="2" borderId="46" xfId="0" applyFont="1" applyFill="1" applyBorder="1" applyAlignment="1">
      <alignment wrapText="1"/>
    </xf>
    <xf numFmtId="0" fontId="2" fillId="2" borderId="61" xfId="0" applyFont="1" applyFill="1" applyBorder="1" applyAlignment="1">
      <alignment horizontal="right" wrapText="1"/>
    </xf>
    <xf numFmtId="0" fontId="2" fillId="2" borderId="29" xfId="0" applyFont="1" applyFill="1" applyBorder="1" applyAlignment="1">
      <alignment horizontal="right" wrapText="1"/>
    </xf>
    <xf numFmtId="0" fontId="3" fillId="0" borderId="20"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63" xfId="0" applyFont="1" applyBorder="1" applyAlignment="1">
      <alignment wrapText="1"/>
    </xf>
    <xf numFmtId="0" fontId="2" fillId="2" borderId="75" xfId="0" applyFont="1" applyFill="1" applyBorder="1" applyAlignment="1">
      <alignment wrapText="1"/>
    </xf>
    <xf numFmtId="0" fontId="2" fillId="2" borderId="9" xfId="0" applyFont="1" applyFill="1" applyBorder="1" applyAlignment="1">
      <alignment wrapText="1"/>
    </xf>
    <xf numFmtId="4" fontId="42" fillId="2" borderId="0" xfId="0" applyNumberFormat="1" applyFont="1" applyFill="1" applyAlignment="1">
      <alignment wrapText="1"/>
    </xf>
    <xf numFmtId="1" fontId="43" fillId="2" borderId="0" xfId="0" applyNumberFormat="1" applyFont="1" applyFill="1" applyAlignment="1">
      <alignment wrapText="1"/>
    </xf>
    <xf numFmtId="0" fontId="3" fillId="6" borderId="32" xfId="0" applyFont="1" applyFill="1" applyBorder="1" applyAlignment="1" applyProtection="1">
      <alignment wrapText="1"/>
      <protection locked="0"/>
    </xf>
    <xf numFmtId="0" fontId="0" fillId="6" borderId="72" xfId="0" applyFill="1" applyBorder="1" applyAlignment="1" applyProtection="1">
      <alignment wrapText="1"/>
      <protection locked="0"/>
    </xf>
    <xf numFmtId="0" fontId="0" fillId="6" borderId="70" xfId="0" applyFill="1" applyBorder="1" applyAlignment="1" applyProtection="1">
      <alignment wrapText="1"/>
      <protection locked="0"/>
    </xf>
    <xf numFmtId="0" fontId="8" fillId="2" borderId="9" xfId="0" applyFont="1" applyFill="1" applyBorder="1" applyAlignment="1">
      <alignment wrapText="1"/>
    </xf>
    <xf numFmtId="0" fontId="2" fillId="2" borderId="77" xfId="0" applyFont="1" applyFill="1" applyBorder="1" applyAlignment="1">
      <alignment wrapText="1"/>
    </xf>
    <xf numFmtId="0" fontId="8" fillId="2" borderId="54" xfId="0" applyFont="1" applyFill="1" applyBorder="1" applyAlignment="1">
      <alignment wrapText="1"/>
    </xf>
    <xf numFmtId="0" fontId="8" fillId="2" borderId="65" xfId="0" applyFont="1" applyFill="1" applyBorder="1" applyAlignment="1">
      <alignment horizontal="right" wrapText="1"/>
    </xf>
    <xf numFmtId="0" fontId="44" fillId="2" borderId="0" xfId="0" applyFont="1" applyFill="1" applyAlignment="1">
      <alignment horizontal="center" wrapText="1"/>
    </xf>
    <xf numFmtId="0" fontId="0" fillId="6" borderId="9" xfId="0" applyFill="1" applyBorder="1" applyAlignment="1" applyProtection="1">
      <alignment wrapText="1"/>
      <protection locked="0"/>
    </xf>
    <xf numFmtId="0" fontId="2" fillId="2" borderId="14" xfId="0" applyFont="1" applyFill="1" applyBorder="1" applyAlignment="1">
      <alignment horizontal="center" wrapText="1"/>
    </xf>
    <xf numFmtId="167" fontId="0" fillId="8" borderId="26" xfId="0" applyNumberFormat="1" applyFill="1" applyBorder="1"/>
    <xf numFmtId="0" fontId="0" fillId="8" borderId="26" xfId="0" applyFill="1" applyBorder="1"/>
    <xf numFmtId="1" fontId="8" fillId="15" borderId="9" xfId="0" applyNumberFormat="1" applyFont="1" applyFill="1" applyBorder="1"/>
    <xf numFmtId="0" fontId="2" fillId="2" borderId="77" xfId="0" applyFont="1" applyFill="1" applyBorder="1" applyAlignment="1">
      <alignment horizontal="left" wrapText="1"/>
    </xf>
    <xf numFmtId="0" fontId="11" fillId="6" borderId="19" xfId="0" applyFont="1" applyFill="1" applyBorder="1" applyAlignment="1" applyProtection="1">
      <alignment horizontal="right"/>
      <protection locked="0"/>
    </xf>
    <xf numFmtId="0" fontId="25" fillId="0" borderId="0" xfId="0" applyFont="1" applyAlignment="1">
      <alignment wrapText="1"/>
    </xf>
    <xf numFmtId="0" fontId="11" fillId="6" borderId="26" xfId="0" applyFont="1" applyFill="1" applyBorder="1" applyAlignment="1" applyProtection="1">
      <alignment horizontal="left" vertical="center" wrapText="1"/>
      <protection locked="0"/>
    </xf>
    <xf numFmtId="0" fontId="37" fillId="6" borderId="26" xfId="0" applyFont="1" applyFill="1" applyBorder="1" applyAlignment="1" applyProtection="1">
      <alignment horizontal="left" vertical="center" wrapText="1"/>
      <protection locked="0"/>
    </xf>
    <xf numFmtId="0" fontId="11" fillId="6" borderId="19" xfId="0" applyFont="1" applyFill="1" applyBorder="1" applyAlignment="1" applyProtection="1">
      <alignment horizontal="left" vertical="center" wrapText="1"/>
      <protection locked="0"/>
    </xf>
    <xf numFmtId="0" fontId="37" fillId="6" borderId="19" xfId="0" applyFont="1" applyFill="1" applyBorder="1" applyAlignment="1" applyProtection="1">
      <alignment horizontal="left" vertical="center" wrapText="1"/>
      <protection locked="0"/>
    </xf>
    <xf numFmtId="167" fontId="0" fillId="6" borderId="19" xfId="0" applyNumberFormat="1" applyFill="1" applyBorder="1" applyProtection="1">
      <protection locked="0"/>
    </xf>
    <xf numFmtId="168" fontId="0" fillId="6" borderId="26" xfId="0" applyNumberFormat="1" applyFill="1" applyBorder="1" applyProtection="1">
      <protection locked="0"/>
    </xf>
    <xf numFmtId="0" fontId="10" fillId="6" borderId="26" xfId="0" applyFont="1" applyFill="1" applyBorder="1" applyAlignment="1" applyProtection="1">
      <alignment horizontal="left" vertical="center" wrapText="1"/>
      <protection locked="0"/>
    </xf>
    <xf numFmtId="0" fontId="20" fillId="6" borderId="26" xfId="0" applyFont="1" applyFill="1" applyBorder="1" applyAlignment="1" applyProtection="1">
      <alignment horizontal="left" vertical="center" wrapText="1"/>
      <protection locked="0"/>
    </xf>
    <xf numFmtId="0" fontId="20" fillId="6" borderId="19" xfId="0" applyFont="1" applyFill="1" applyBorder="1" applyAlignment="1" applyProtection="1">
      <alignment horizontal="left" vertical="center" wrapText="1"/>
      <protection locked="0"/>
    </xf>
    <xf numFmtId="0" fontId="10" fillId="6" borderId="19" xfId="0" applyFont="1" applyFill="1" applyBorder="1" applyAlignment="1" applyProtection="1">
      <alignment horizontal="left" vertical="center" wrapText="1"/>
      <protection locked="0"/>
    </xf>
    <xf numFmtId="167" fontId="11" fillId="8" borderId="9" xfId="0" applyNumberFormat="1" applyFont="1" applyFill="1" applyBorder="1"/>
    <xf numFmtId="167" fontId="2" fillId="2" borderId="75" xfId="0" applyNumberFormat="1" applyFont="1" applyFill="1" applyBorder="1"/>
    <xf numFmtId="0" fontId="40" fillId="16" borderId="84" xfId="0" applyFont="1" applyFill="1" applyBorder="1"/>
    <xf numFmtId="169" fontId="8" fillId="15" borderId="73" xfId="6" applyNumberFormat="1" applyFont="1" applyFill="1" applyBorder="1"/>
    <xf numFmtId="169" fontId="8" fillId="15" borderId="9" xfId="6" applyNumberFormat="1" applyFont="1" applyFill="1" applyBorder="1"/>
    <xf numFmtId="0" fontId="0" fillId="2" borderId="85" xfId="0" applyFill="1" applyBorder="1"/>
    <xf numFmtId="0" fontId="0" fillId="2" borderId="26" xfId="0" applyFill="1" applyBorder="1"/>
    <xf numFmtId="0" fontId="0" fillId="6" borderId="19" xfId="0" applyFill="1" applyBorder="1" applyAlignment="1" applyProtection="1">
      <alignment wrapText="1"/>
      <protection locked="0"/>
    </xf>
    <xf numFmtId="1" fontId="41" fillId="17" borderId="67" xfId="0" applyNumberFormat="1" applyFont="1" applyFill="1" applyBorder="1" applyAlignment="1">
      <alignment horizontal="center"/>
    </xf>
    <xf numFmtId="1" fontId="0" fillId="2" borderId="74" xfId="0" applyNumberFormat="1" applyFill="1" applyBorder="1"/>
    <xf numFmtId="0" fontId="2" fillId="2" borderId="16" xfId="0" applyFont="1" applyFill="1" applyBorder="1" applyAlignment="1">
      <alignment wrapText="1"/>
    </xf>
    <xf numFmtId="167" fontId="0" fillId="8" borderId="12" xfId="0" applyNumberFormat="1" applyFill="1" applyBorder="1" applyAlignment="1">
      <alignment wrapText="1"/>
    </xf>
    <xf numFmtId="168" fontId="0" fillId="8" borderId="13" xfId="0" applyNumberFormat="1" applyFill="1" applyBorder="1"/>
    <xf numFmtId="1" fontId="2" fillId="15" borderId="1" xfId="0" applyNumberFormat="1" applyFont="1" applyFill="1" applyBorder="1"/>
    <xf numFmtId="0" fontId="2" fillId="0" borderId="0" xfId="0" applyFont="1" applyAlignment="1">
      <alignment wrapText="1"/>
    </xf>
    <xf numFmtId="0" fontId="2" fillId="2" borderId="14" xfId="0" applyFont="1" applyFill="1" applyBorder="1"/>
    <xf numFmtId="0" fontId="2" fillId="2" borderId="57" xfId="0" applyFont="1" applyFill="1" applyBorder="1" applyAlignment="1">
      <alignment wrapText="1"/>
    </xf>
    <xf numFmtId="167" fontId="0" fillId="8" borderId="7" xfId="0" applyNumberFormat="1" applyFill="1" applyBorder="1"/>
    <xf numFmtId="167" fontId="0" fillId="0" borderId="0" xfId="0" applyNumberFormat="1"/>
    <xf numFmtId="168" fontId="0" fillId="8" borderId="7" xfId="0" applyNumberFormat="1" applyFill="1" applyBorder="1"/>
    <xf numFmtId="0" fontId="2" fillId="2" borderId="78" xfId="0" applyFont="1" applyFill="1" applyBorder="1" applyAlignment="1">
      <alignment wrapText="1"/>
    </xf>
    <xf numFmtId="0" fontId="2" fillId="2" borderId="79" xfId="0" applyFont="1" applyFill="1" applyBorder="1" applyAlignment="1">
      <alignment wrapText="1"/>
    </xf>
    <xf numFmtId="1" fontId="43" fillId="17" borderId="67" xfId="0" applyNumberFormat="1" applyFont="1" applyFill="1" applyBorder="1" applyAlignment="1">
      <alignment horizontal="center" wrapText="1"/>
    </xf>
    <xf numFmtId="10" fontId="0" fillId="0" borderId="0" xfId="0" applyNumberFormat="1" applyAlignment="1">
      <alignment horizontal="center"/>
    </xf>
    <xf numFmtId="1" fontId="43" fillId="17" borderId="0" xfId="0" applyNumberFormat="1" applyFont="1" applyFill="1" applyAlignment="1">
      <alignment horizontal="center"/>
    </xf>
    <xf numFmtId="0" fontId="2" fillId="2" borderId="0" xfId="0" applyFont="1" applyFill="1" applyAlignment="1">
      <alignment horizontal="center"/>
    </xf>
    <xf numFmtId="0" fontId="2" fillId="2" borderId="27" xfId="0" applyFont="1" applyFill="1" applyBorder="1" applyAlignment="1">
      <alignment horizontal="center"/>
    </xf>
    <xf numFmtId="0" fontId="0" fillId="0" borderId="9" xfId="0" applyBorder="1"/>
    <xf numFmtId="0" fontId="0" fillId="0" borderId="1" xfId="0" applyBorder="1" applyAlignment="1">
      <alignment vertical="top"/>
    </xf>
    <xf numFmtId="168" fontId="0" fillId="9" borderId="19" xfId="5" applyNumberFormat="1" applyFont="1" applyFill="1" applyBorder="1"/>
    <xf numFmtId="0" fontId="11" fillId="18" borderId="1" xfId="0" applyFont="1" applyFill="1" applyBorder="1" applyAlignment="1">
      <alignment wrapText="1"/>
    </xf>
    <xf numFmtId="0" fontId="0" fillId="0" borderId="7" xfId="0" applyBorder="1"/>
    <xf numFmtId="0" fontId="0" fillId="11" borderId="25" xfId="0" applyFill="1" applyBorder="1"/>
    <xf numFmtId="0" fontId="0" fillId="18" borderId="0" xfId="0" applyFill="1" applyAlignment="1">
      <alignment wrapText="1"/>
    </xf>
    <xf numFmtId="0" fontId="0" fillId="10" borderId="0" xfId="0" applyFill="1" applyAlignment="1">
      <alignment horizontal="right"/>
    </xf>
    <xf numFmtId="0" fontId="0" fillId="13" borderId="0" xfId="0" applyFill="1"/>
    <xf numFmtId="170" fontId="0" fillId="0" borderId="7" xfId="0" applyNumberFormat="1" applyBorder="1" applyAlignment="1">
      <alignment horizontal="right"/>
    </xf>
    <xf numFmtId="170" fontId="0" fillId="0" borderId="7" xfId="0" applyNumberFormat="1" applyBorder="1" applyAlignment="1">
      <alignment vertical="top"/>
    </xf>
    <xf numFmtId="0" fontId="0" fillId="0" borderId="25" xfId="0" applyBorder="1"/>
    <xf numFmtId="0" fontId="46" fillId="0" borderId="11" xfId="0" applyFont="1" applyBorder="1"/>
    <xf numFmtId="0" fontId="46" fillId="0" borderId="39" xfId="0" applyFont="1" applyBorder="1"/>
    <xf numFmtId="0" fontId="9" fillId="0" borderId="39" xfId="0" applyFont="1" applyBorder="1"/>
    <xf numFmtId="0" fontId="9" fillId="0" borderId="0" xfId="0" applyFont="1"/>
    <xf numFmtId="0" fontId="46" fillId="0" borderId="1" xfId="0" applyFont="1" applyBorder="1"/>
    <xf numFmtId="0" fontId="9" fillId="0" borderId="1" xfId="0" applyFont="1" applyBorder="1"/>
    <xf numFmtId="0" fontId="0" fillId="13" borderId="87" xfId="0" applyFill="1" applyBorder="1"/>
    <xf numFmtId="0" fontId="0" fillId="13" borderId="25" xfId="0" applyFill="1" applyBorder="1"/>
    <xf numFmtId="0" fontId="27" fillId="0" borderId="7" xfId="0" applyFont="1" applyBorder="1" applyAlignment="1">
      <alignment wrapText="1"/>
    </xf>
    <xf numFmtId="0" fontId="13" fillId="0" borderId="7" xfId="0" applyFont="1" applyBorder="1" applyAlignment="1">
      <alignment horizontal="right" wrapText="1"/>
    </xf>
    <xf numFmtId="0" fontId="0" fillId="13" borderId="25" xfId="0" applyFill="1" applyBorder="1" applyAlignment="1">
      <alignment wrapText="1"/>
    </xf>
    <xf numFmtId="0" fontId="0" fillId="13" borderId="89" xfId="0" applyFill="1" applyBorder="1" applyAlignment="1">
      <alignment wrapText="1"/>
    </xf>
    <xf numFmtId="0" fontId="34" fillId="0" borderId="25" xfId="0" applyFont="1" applyBorder="1"/>
    <xf numFmtId="0" fontId="0" fillId="13" borderId="35" xfId="0" applyFill="1" applyBorder="1"/>
    <xf numFmtId="0" fontId="0" fillId="0" borderId="27" xfId="0" applyBorder="1"/>
    <xf numFmtId="0" fontId="11" fillId="0" borderId="9" xfId="0" applyFont="1" applyBorder="1" applyAlignment="1">
      <alignment vertical="center" wrapText="1"/>
    </xf>
    <xf numFmtId="0" fontId="27" fillId="0" borderId="9" xfId="0" applyFont="1" applyBorder="1" applyAlignment="1">
      <alignment horizontal="right" wrapText="1"/>
    </xf>
    <xf numFmtId="0" fontId="11" fillId="0" borderId="11" xfId="0" applyFont="1" applyBorder="1" applyAlignment="1">
      <alignment vertical="center" wrapText="1"/>
    </xf>
    <xf numFmtId="0" fontId="3" fillId="11" borderId="1" xfId="0" applyFont="1" applyFill="1" applyBorder="1" applyAlignment="1">
      <alignment horizontal="left"/>
    </xf>
    <xf numFmtId="0" fontId="2" fillId="2" borderId="65" xfId="0" applyFont="1" applyFill="1" applyBorder="1"/>
    <xf numFmtId="0" fontId="0" fillId="8" borderId="7" xfId="0" applyFill="1" applyBorder="1"/>
    <xf numFmtId="0" fontId="29" fillId="8" borderId="26" xfId="0" applyFont="1" applyFill="1" applyBorder="1" applyAlignment="1">
      <alignment horizontal="right" wrapText="1"/>
    </xf>
    <xf numFmtId="0" fontId="29" fillId="8" borderId="93" xfId="0" applyFont="1" applyFill="1" applyBorder="1" applyAlignment="1">
      <alignment horizontal="right" wrapText="1"/>
    </xf>
    <xf numFmtId="167" fontId="0" fillId="8" borderId="93" xfId="0" applyNumberFormat="1" applyFill="1" applyBorder="1"/>
    <xf numFmtId="0" fontId="29" fillId="8" borderId="19" xfId="0" applyFont="1" applyFill="1" applyBorder="1" applyAlignment="1">
      <alignment horizontal="right" wrapText="1"/>
    </xf>
    <xf numFmtId="0" fontId="0" fillId="8" borderId="19" xfId="0" applyFill="1" applyBorder="1"/>
    <xf numFmtId="0" fontId="2" fillId="16" borderId="26" xfId="0" applyFont="1" applyFill="1" applyBorder="1" applyAlignment="1">
      <alignment wrapText="1"/>
    </xf>
    <xf numFmtId="0" fontId="2" fillId="16" borderId="26" xfId="0" applyFont="1" applyFill="1" applyBorder="1"/>
    <xf numFmtId="0" fontId="2" fillId="16" borderId="9" xfId="0" applyFont="1" applyFill="1" applyBorder="1" applyAlignment="1">
      <alignment wrapText="1"/>
    </xf>
    <xf numFmtId="1" fontId="49" fillId="16" borderId="92" xfId="0" applyNumberFormat="1" applyFont="1" applyFill="1" applyBorder="1" applyAlignment="1">
      <alignment horizontal="center"/>
    </xf>
    <xf numFmtId="1" fontId="8" fillId="15" borderId="9" xfId="6" applyNumberFormat="1" applyFont="1" applyFill="1" applyBorder="1"/>
    <xf numFmtId="0" fontId="0" fillId="13" borderId="94" xfId="0" applyFill="1" applyBorder="1"/>
    <xf numFmtId="1" fontId="0" fillId="13" borderId="26" xfId="0" applyNumberFormat="1" applyFill="1" applyBorder="1"/>
    <xf numFmtId="0" fontId="0" fillId="13" borderId="95" xfId="0" applyFill="1" applyBorder="1"/>
    <xf numFmtId="0" fontId="50" fillId="13" borderId="26" xfId="0" applyFont="1" applyFill="1" applyBorder="1" applyAlignment="1">
      <alignment wrapText="1"/>
    </xf>
    <xf numFmtId="0" fontId="50" fillId="13" borderId="9" xfId="0" applyFont="1" applyFill="1" applyBorder="1" applyAlignment="1">
      <alignment wrapText="1"/>
    </xf>
    <xf numFmtId="0" fontId="0" fillId="8" borderId="96" xfId="0" applyFill="1" applyBorder="1"/>
    <xf numFmtId="0" fontId="0" fillId="8" borderId="27" xfId="0" applyFill="1" applyBorder="1"/>
    <xf numFmtId="171" fontId="0" fillId="0" borderId="25" xfId="0" applyNumberFormat="1" applyBorder="1"/>
    <xf numFmtId="165" fontId="0" fillId="0" borderId="25" xfId="5" applyNumberFormat="1" applyFont="1" applyFill="1" applyBorder="1" applyAlignment="1">
      <alignment horizontal="right"/>
    </xf>
    <xf numFmtId="0" fontId="0" fillId="0" borderId="37" xfId="0" applyBorder="1"/>
    <xf numFmtId="0" fontId="0" fillId="13" borderId="89" xfId="0" applyFill="1" applyBorder="1"/>
    <xf numFmtId="0" fontId="10" fillId="0" borderId="0" xfId="0" applyFont="1" applyAlignment="1">
      <alignment wrapText="1"/>
    </xf>
    <xf numFmtId="0" fontId="11" fillId="19" borderId="1" xfId="0" applyFont="1" applyFill="1" applyBorder="1"/>
    <xf numFmtId="0" fontId="0" fillId="19" borderId="1" xfId="0" applyFill="1" applyBorder="1"/>
    <xf numFmtId="0" fontId="0" fillId="19" borderId="19" xfId="0" applyFill="1" applyBorder="1"/>
    <xf numFmtId="0" fontId="0" fillId="19" borderId="25" xfId="0" applyFill="1" applyBorder="1"/>
    <xf numFmtId="0" fontId="26" fillId="19" borderId="1" xfId="0" applyFont="1" applyFill="1" applyBorder="1" applyAlignment="1">
      <alignment wrapText="1"/>
    </xf>
    <xf numFmtId="0" fontId="53" fillId="19" borderId="1" xfId="0" applyFont="1" applyFill="1" applyBorder="1" applyAlignment="1">
      <alignment wrapText="1"/>
    </xf>
    <xf numFmtId="0" fontId="32" fillId="18" borderId="1" xfId="0" applyFont="1" applyFill="1" applyBorder="1"/>
    <xf numFmtId="0" fontId="32" fillId="18" borderId="7" xfId="0" applyFont="1" applyFill="1" applyBorder="1" applyAlignment="1">
      <alignment wrapText="1"/>
    </xf>
    <xf numFmtId="0" fontId="32" fillId="18" borderId="7" xfId="0" applyFont="1" applyFill="1" applyBorder="1"/>
    <xf numFmtId="0" fontId="51" fillId="0" borderId="0" xfId="7"/>
    <xf numFmtId="0" fontId="3" fillId="0" borderId="37" xfId="0" applyFont="1" applyBorder="1"/>
    <xf numFmtId="0" fontId="3" fillId="0" borderId="91" xfId="0" applyFont="1" applyBorder="1"/>
    <xf numFmtId="0" fontId="0" fillId="0" borderId="91" xfId="0" applyBorder="1"/>
    <xf numFmtId="0" fontId="15" fillId="9" borderId="1" xfId="0" applyFont="1" applyFill="1" applyBorder="1" applyAlignment="1">
      <alignment wrapText="1"/>
    </xf>
    <xf numFmtId="0" fontId="15" fillId="13" borderId="88" xfId="0" applyFont="1" applyFill="1" applyBorder="1"/>
    <xf numFmtId="170" fontId="45" fillId="0" borderId="0" xfId="0" applyNumberFormat="1" applyFont="1"/>
    <xf numFmtId="0" fontId="37" fillId="0" borderId="0" xfId="0" applyFont="1"/>
    <xf numFmtId="0" fontId="0" fillId="14" borderId="0" xfId="0" applyFill="1"/>
    <xf numFmtId="9" fontId="10" fillId="14" borderId="0" xfId="0" applyNumberFormat="1" applyFont="1" applyFill="1"/>
    <xf numFmtId="170" fontId="0" fillId="14" borderId="0" xfId="0" applyNumberFormat="1" applyFill="1"/>
    <xf numFmtId="0" fontId="3" fillId="14" borderId="0" xfId="0" applyFont="1" applyFill="1"/>
    <xf numFmtId="0" fontId="20" fillId="0" borderId="0" xfId="0" applyFont="1" applyAlignment="1">
      <alignment horizontal="right"/>
    </xf>
    <xf numFmtId="170" fontId="54" fillId="14" borderId="0" xfId="0" applyNumberFormat="1" applyFont="1" applyFill="1"/>
    <xf numFmtId="172" fontId="54" fillId="14" borderId="0" xfId="0" applyNumberFormat="1" applyFont="1" applyFill="1"/>
    <xf numFmtId="0" fontId="55" fillId="0" borderId="0" xfId="0" applyFont="1"/>
    <xf numFmtId="0" fontId="54" fillId="0" borderId="0" xfId="0" applyFont="1"/>
    <xf numFmtId="0" fontId="15" fillId="0" borderId="0" xfId="0" applyFont="1" applyAlignment="1">
      <alignment horizontal="right"/>
    </xf>
    <xf numFmtId="0" fontId="34" fillId="0" borderId="0" xfId="0" applyFont="1" applyAlignment="1">
      <alignment horizontal="right"/>
    </xf>
    <xf numFmtId="0" fontId="15" fillId="0" borderId="98" xfId="0" applyFont="1" applyBorder="1" applyAlignment="1">
      <alignment wrapText="1"/>
    </xf>
    <xf numFmtId="0" fontId="1" fillId="0" borderId="0" xfId="0" applyFont="1" applyAlignment="1">
      <alignment wrapText="1"/>
    </xf>
    <xf numFmtId="0" fontId="15" fillId="6" borderId="1" xfId="0" applyFont="1" applyFill="1" applyBorder="1" applyAlignment="1" applyProtection="1">
      <alignment wrapText="1"/>
      <protection locked="0"/>
    </xf>
    <xf numFmtId="0" fontId="46" fillId="0" borderId="28" xfId="0" applyFont="1" applyBorder="1"/>
    <xf numFmtId="0" fontId="46" fillId="0" borderId="19" xfId="0" applyFont="1" applyBorder="1"/>
    <xf numFmtId="0" fontId="46" fillId="12" borderId="11" xfId="0" applyFont="1" applyFill="1" applyBorder="1"/>
    <xf numFmtId="0" fontId="3" fillId="12" borderId="0" xfId="0" applyFont="1" applyFill="1"/>
    <xf numFmtId="167" fontId="1" fillId="8" borderId="45" xfId="1" applyNumberFormat="1" applyFont="1" applyFill="1" applyBorder="1" applyProtection="1"/>
    <xf numFmtId="168" fontId="1" fillId="8" borderId="47" xfId="2" applyNumberFormat="1" applyFont="1" applyFill="1" applyBorder="1" applyProtection="1"/>
    <xf numFmtId="167" fontId="1" fillId="8" borderId="41" xfId="1" applyNumberFormat="1" applyFont="1" applyFill="1" applyBorder="1"/>
    <xf numFmtId="168" fontId="1" fillId="8" borderId="55" xfId="2" applyNumberFormat="1" applyFont="1" applyFill="1" applyBorder="1"/>
    <xf numFmtId="168" fontId="1" fillId="8" borderId="53" xfId="2" applyNumberFormat="1" applyFont="1" applyFill="1" applyBorder="1" applyProtection="1"/>
    <xf numFmtId="167" fontId="1" fillId="8" borderId="1" xfId="1" applyNumberFormat="1" applyFont="1" applyFill="1" applyBorder="1" applyProtection="1"/>
    <xf numFmtId="168" fontId="1" fillId="8" borderId="1" xfId="2" applyNumberFormat="1" applyFont="1" applyFill="1" applyBorder="1" applyProtection="1"/>
    <xf numFmtId="44" fontId="1" fillId="0" borderId="7" xfId="5" applyFont="1" applyFill="1" applyBorder="1"/>
    <xf numFmtId="44" fontId="1" fillId="0" borderId="1" xfId="5" applyFont="1" applyFill="1" applyBorder="1"/>
    <xf numFmtId="0" fontId="59" fillId="20" borderId="25" xfId="0" applyFont="1" applyFill="1" applyBorder="1" applyAlignment="1">
      <alignment wrapText="1" readingOrder="1"/>
    </xf>
    <xf numFmtId="0" fontId="59" fillId="20" borderId="99" xfId="0" applyFont="1" applyFill="1" applyBorder="1" applyAlignment="1">
      <alignment wrapText="1" readingOrder="1"/>
    </xf>
    <xf numFmtId="0" fontId="0" fillId="11" borderId="0" xfId="0" applyFill="1"/>
    <xf numFmtId="0" fontId="3" fillId="11" borderId="9" xfId="0" applyFont="1" applyFill="1" applyBorder="1" applyAlignment="1">
      <alignment horizontal="left"/>
    </xf>
    <xf numFmtId="0" fontId="3" fillId="11" borderId="9" xfId="0" applyFont="1" applyFill="1" applyBorder="1" applyAlignment="1">
      <alignment horizontal="left" wrapText="1"/>
    </xf>
    <xf numFmtId="0" fontId="60" fillId="0" borderId="11" xfId="0" applyFont="1" applyBorder="1"/>
    <xf numFmtId="0" fontId="14" fillId="0" borderId="11" xfId="0" applyFont="1" applyBorder="1"/>
    <xf numFmtId="0" fontId="46" fillId="13" borderId="1" xfId="0" applyFont="1" applyFill="1" applyBorder="1"/>
    <xf numFmtId="0" fontId="9" fillId="13" borderId="1" xfId="0" applyFont="1" applyFill="1" applyBorder="1"/>
    <xf numFmtId="0" fontId="0" fillId="14" borderId="9" xfId="0" applyFill="1" applyBorder="1"/>
    <xf numFmtId="0" fontId="0" fillId="14" borderId="18" xfId="0" applyFill="1" applyBorder="1"/>
    <xf numFmtId="0" fontId="0" fillId="14" borderId="11" xfId="0" applyFill="1" applyBorder="1"/>
    <xf numFmtId="0" fontId="0" fillId="14" borderId="9" xfId="0" applyFill="1" applyBorder="1" applyAlignment="1">
      <alignment horizontal="right"/>
    </xf>
    <xf numFmtId="0" fontId="0" fillId="14" borderId="18" xfId="0" applyFill="1" applyBorder="1" applyAlignment="1">
      <alignment horizontal="right"/>
    </xf>
    <xf numFmtId="0" fontId="0" fillId="14" borderId="11" xfId="0" applyFill="1" applyBorder="1" applyAlignment="1">
      <alignment horizontal="right"/>
    </xf>
    <xf numFmtId="0" fontId="12" fillId="0" borderId="1" xfId="0" applyFont="1" applyBorder="1" applyAlignment="1">
      <alignment horizontal="left" wrapText="1"/>
    </xf>
    <xf numFmtId="44" fontId="11" fillId="0" borderId="7" xfId="5" applyFont="1" applyFill="1" applyBorder="1"/>
    <xf numFmtId="0" fontId="0" fillId="14" borderId="1" xfId="0" applyFill="1" applyBorder="1" applyAlignment="1">
      <alignment horizontal="right"/>
    </xf>
    <xf numFmtId="0" fontId="15" fillId="9" borderId="1" xfId="0" applyFont="1" applyFill="1" applyBorder="1"/>
    <xf numFmtId="0" fontId="14" fillId="0" borderId="1" xfId="0" applyFont="1" applyBorder="1" applyAlignment="1">
      <alignment wrapText="1"/>
    </xf>
    <xf numFmtId="1" fontId="15" fillId="9" borderId="1" xfId="0" applyNumberFormat="1" applyFont="1" applyFill="1" applyBorder="1"/>
    <xf numFmtId="0" fontId="0" fillId="21" borderId="0" xfId="0" applyFill="1"/>
    <xf numFmtId="0" fontId="3" fillId="21" borderId="9" xfId="0" applyFont="1" applyFill="1" applyBorder="1"/>
    <xf numFmtId="0" fontId="11" fillId="14" borderId="1" xfId="0" applyFont="1" applyFill="1" applyBorder="1" applyAlignment="1">
      <alignment horizontal="right"/>
    </xf>
    <xf numFmtId="44" fontId="11" fillId="0" borderId="1" xfId="5" applyFont="1" applyFill="1" applyBorder="1"/>
    <xf numFmtId="0" fontId="0" fillId="14" borderId="9" xfId="0" applyFill="1" applyBorder="1" applyAlignment="1">
      <alignment horizontal="center"/>
    </xf>
    <xf numFmtId="0" fontId="0" fillId="14" borderId="18" xfId="0" applyFill="1" applyBorder="1" applyAlignment="1">
      <alignment horizontal="center"/>
    </xf>
    <xf numFmtId="0" fontId="11" fillId="14" borderId="9" xfId="0" applyFont="1" applyFill="1" applyBorder="1" applyAlignment="1">
      <alignment horizontal="right" wrapText="1"/>
    </xf>
    <xf numFmtId="0" fontId="0" fillId="14" borderId="9" xfId="0" applyFill="1" applyBorder="1" applyAlignment="1">
      <alignment horizontal="right" wrapText="1"/>
    </xf>
    <xf numFmtId="0" fontId="11" fillId="14" borderId="18" xfId="0" applyFont="1" applyFill="1" applyBorder="1" applyAlignment="1">
      <alignment horizontal="right" wrapText="1"/>
    </xf>
    <xf numFmtId="0" fontId="15" fillId="14" borderId="18" xfId="0" applyFont="1" applyFill="1" applyBorder="1" applyAlignment="1">
      <alignment wrapText="1"/>
    </xf>
    <xf numFmtId="44" fontId="1" fillId="0" borderId="1" xfId="5" applyFont="1" applyFill="1" applyBorder="1" applyAlignment="1">
      <alignment horizontal="center"/>
    </xf>
    <xf numFmtId="0" fontId="15" fillId="14" borderId="18" xfId="0" applyFont="1" applyFill="1" applyBorder="1" applyAlignment="1">
      <alignment horizontal="right" wrapText="1"/>
    </xf>
    <xf numFmtId="0" fontId="15" fillId="14" borderId="18" xfId="0" applyFont="1" applyFill="1" applyBorder="1" applyAlignment="1">
      <alignment horizontal="center" wrapText="1"/>
    </xf>
    <xf numFmtId="0" fontId="15" fillId="14" borderId="9" xfId="0" applyFont="1" applyFill="1" applyBorder="1" applyAlignment="1">
      <alignment horizontal="center"/>
    </xf>
    <xf numFmtId="0" fontId="3" fillId="21" borderId="26" xfId="0" applyFont="1" applyFill="1" applyBorder="1"/>
    <xf numFmtId="0" fontId="15" fillId="14" borderId="9" xfId="0" applyFont="1" applyFill="1" applyBorder="1" applyAlignment="1">
      <alignment horizontal="right"/>
    </xf>
    <xf numFmtId="0" fontId="0" fillId="0" borderId="1" xfId="0" applyBorder="1" applyAlignment="1">
      <alignment vertical="center" wrapText="1"/>
    </xf>
    <xf numFmtId="0" fontId="34" fillId="0" borderId="1" xfId="0" applyFont="1" applyBorder="1" applyAlignment="1">
      <alignment vertical="center" wrapText="1"/>
    </xf>
    <xf numFmtId="0" fontId="0" fillId="14" borderId="18" xfId="0" applyFill="1" applyBorder="1" applyAlignment="1">
      <alignment horizontal="right" wrapText="1"/>
    </xf>
    <xf numFmtId="0" fontId="15" fillId="14" borderId="18" xfId="0" applyFont="1" applyFill="1" applyBorder="1" applyAlignment="1">
      <alignment horizontal="right" indent="1"/>
    </xf>
    <xf numFmtId="0" fontId="34" fillId="0" borderId="1" xfId="0" applyFont="1" applyBorder="1" applyAlignment="1">
      <alignment wrapText="1"/>
    </xf>
    <xf numFmtId="0" fontId="0" fillId="11" borderId="1" xfId="0" applyFill="1" applyBorder="1"/>
    <xf numFmtId="0" fontId="0" fillId="0" borderId="1" xfId="0" applyBorder="1" applyAlignment="1">
      <alignment horizontal="left" wrapText="1"/>
    </xf>
    <xf numFmtId="0" fontId="11" fillId="0" borderId="81" xfId="0" applyFont="1" applyBorder="1"/>
    <xf numFmtId="0" fontId="2" fillId="2" borderId="38" xfId="0" applyFont="1" applyFill="1" applyBorder="1" applyAlignment="1">
      <alignment horizontal="center" vertical="center" textRotation="90" wrapText="1"/>
    </xf>
    <xf numFmtId="0" fontId="8" fillId="2" borderId="105" xfId="0" applyFont="1" applyFill="1" applyBorder="1" applyAlignment="1">
      <alignment wrapText="1"/>
    </xf>
    <xf numFmtId="168" fontId="0" fillId="8" borderId="106" xfId="1" applyNumberFormat="1" applyFont="1" applyFill="1" applyBorder="1" applyProtection="1"/>
    <xf numFmtId="0" fontId="3" fillId="0" borderId="107" xfId="0" applyFont="1" applyBorder="1" applyAlignment="1">
      <alignment wrapText="1"/>
    </xf>
    <xf numFmtId="0" fontId="3" fillId="0" borderId="108" xfId="0" applyFont="1" applyBorder="1" applyAlignment="1">
      <alignment wrapText="1"/>
    </xf>
    <xf numFmtId="0" fontId="3" fillId="0" borderId="109" xfId="0" applyFont="1" applyBorder="1" applyAlignment="1">
      <alignment wrapText="1"/>
    </xf>
    <xf numFmtId="0" fontId="3" fillId="0" borderId="109" xfId="0" applyFont="1" applyBorder="1"/>
    <xf numFmtId="0" fontId="3" fillId="0" borderId="110" xfId="0" applyFont="1" applyBorder="1" applyAlignment="1">
      <alignment wrapText="1"/>
    </xf>
    <xf numFmtId="0" fontId="3" fillId="0" borderId="111" xfId="0" applyFont="1" applyBorder="1" applyAlignment="1">
      <alignment wrapText="1"/>
    </xf>
    <xf numFmtId="0" fontId="0" fillId="6" borderId="107" xfId="0" applyFill="1" applyBorder="1" applyAlignment="1" applyProtection="1">
      <alignment horizontal="right"/>
      <protection locked="0"/>
    </xf>
    <xf numFmtId="0" fontId="0" fillId="6" borderId="108" xfId="0" applyFill="1" applyBorder="1" applyAlignment="1" applyProtection="1">
      <alignment horizontal="right"/>
      <protection locked="0"/>
    </xf>
    <xf numFmtId="0" fontId="0" fillId="0" borderId="0" xfId="0" applyAlignment="1">
      <alignment horizontal="right" wrapText="1"/>
    </xf>
    <xf numFmtId="164" fontId="0" fillId="0" borderId="19" xfId="0" applyNumberFormat="1" applyBorder="1"/>
    <xf numFmtId="164" fontId="11" fillId="0" borderId="19" xfId="0" applyNumberFormat="1" applyFont="1" applyBorder="1"/>
    <xf numFmtId="0" fontId="0" fillId="0" borderId="91" xfId="0" applyBorder="1" applyAlignment="1">
      <alignment horizontal="right"/>
    </xf>
    <xf numFmtId="168" fontId="15" fillId="9" borderId="19" xfId="0" applyNumberFormat="1" applyFont="1" applyFill="1" applyBorder="1"/>
    <xf numFmtId="0" fontId="0" fillId="0" borderId="81" xfId="0" applyBorder="1"/>
    <xf numFmtId="0" fontId="0" fillId="0" borderId="1" xfId="0" applyBorder="1" applyAlignment="1">
      <alignment horizontal="right" vertical="top"/>
    </xf>
    <xf numFmtId="168" fontId="0" fillId="0" borderId="19" xfId="5" applyNumberFormat="1" applyFont="1" applyFill="1" applyBorder="1"/>
    <xf numFmtId="0" fontId="21" fillId="0" borderId="1" xfId="0" applyFont="1" applyBorder="1" applyAlignment="1">
      <alignment wrapText="1"/>
    </xf>
    <xf numFmtId="0" fontId="34" fillId="0" borderId="81" xfId="0" applyFont="1" applyBorder="1"/>
    <xf numFmtId="0" fontId="36" fillId="0" borderId="81" xfId="0" applyFont="1" applyBorder="1"/>
    <xf numFmtId="0" fontId="34" fillId="13" borderId="1" xfId="0" applyFont="1" applyFill="1" applyBorder="1" applyAlignment="1">
      <alignment horizontal="right"/>
    </xf>
    <xf numFmtId="0" fontId="0" fillId="13" borderId="1" xfId="0" applyFill="1" applyBorder="1" applyAlignment="1">
      <alignment horizontal="right"/>
    </xf>
    <xf numFmtId="168" fontId="15" fillId="9" borderId="19" xfId="5" applyNumberFormat="1" applyFont="1" applyFill="1" applyBorder="1"/>
    <xf numFmtId="170" fontId="0" fillId="11" borderId="25" xfId="0" applyNumberFormat="1" applyFill="1" applyBorder="1"/>
    <xf numFmtId="0" fontId="0" fillId="11" borderId="37" xfId="0" applyFill="1" applyBorder="1"/>
    <xf numFmtId="0" fontId="11" fillId="11" borderId="37" xfId="0" applyFont="1" applyFill="1" applyBorder="1"/>
    <xf numFmtId="170" fontId="0" fillId="11" borderId="37" xfId="0" applyNumberFormat="1" applyFill="1" applyBorder="1"/>
    <xf numFmtId="0" fontId="15" fillId="13" borderId="1" xfId="0" applyFont="1" applyFill="1" applyBorder="1"/>
    <xf numFmtId="0" fontId="11" fillId="0" borderId="1" xfId="5" applyNumberFormat="1" applyFont="1" applyFill="1" applyBorder="1" applyAlignment="1">
      <alignment horizontal="left"/>
    </xf>
    <xf numFmtId="0" fontId="25" fillId="0" borderId="0" xfId="0" applyFont="1" applyAlignment="1">
      <alignment horizontal="left" wrapText="1"/>
    </xf>
    <xf numFmtId="0" fontId="22" fillId="0" borderId="109" xfId="0" applyFont="1" applyBorder="1" applyAlignment="1">
      <alignment wrapText="1"/>
    </xf>
    <xf numFmtId="0" fontId="15" fillId="9" borderId="0" xfId="0" applyFont="1" applyFill="1"/>
    <xf numFmtId="0" fontId="54" fillId="0" borderId="108" xfId="0" applyFont="1" applyBorder="1" applyAlignment="1">
      <alignment wrapText="1"/>
    </xf>
    <xf numFmtId="0" fontId="58" fillId="0" borderId="0" xfId="0" applyFont="1" applyAlignment="1">
      <alignment wrapText="1"/>
    </xf>
    <xf numFmtId="0" fontId="0" fillId="7" borderId="0" xfId="0" applyFill="1" applyAlignment="1">
      <alignment wrapText="1"/>
    </xf>
    <xf numFmtId="0" fontId="0" fillId="0" borderId="0" xfId="0" applyAlignment="1">
      <alignment horizontal="left" wrapText="1"/>
    </xf>
    <xf numFmtId="44" fontId="1" fillId="9" borderId="1" xfId="5" applyFont="1" applyFill="1" applyBorder="1"/>
    <xf numFmtId="0" fontId="38" fillId="0" borderId="0" xfId="0" applyFont="1" applyAlignment="1">
      <alignment wrapText="1"/>
    </xf>
    <xf numFmtId="0" fontId="62" fillId="19" borderId="19" xfId="0" applyFont="1" applyFill="1" applyBorder="1" applyAlignment="1">
      <alignment wrapText="1"/>
    </xf>
    <xf numFmtId="0" fontId="62" fillId="19" borderId="7" xfId="0" applyFont="1" applyFill="1" applyBorder="1" applyAlignment="1">
      <alignment wrapText="1"/>
    </xf>
    <xf numFmtId="0" fontId="62" fillId="19" borderId="1" xfId="0" applyFont="1" applyFill="1" applyBorder="1" applyAlignment="1">
      <alignment wrapText="1"/>
    </xf>
    <xf numFmtId="0" fontId="3" fillId="13" borderId="1" xfId="0" applyFont="1" applyFill="1" applyBorder="1"/>
    <xf numFmtId="0" fontId="0" fillId="22" borderId="1" xfId="0" applyFill="1" applyBorder="1"/>
    <xf numFmtId="0" fontId="53" fillId="13" borderId="1" xfId="0" applyFont="1" applyFill="1" applyBorder="1" applyAlignment="1">
      <alignment wrapText="1"/>
    </xf>
    <xf numFmtId="0" fontId="62" fillId="13" borderId="1" xfId="0" applyFont="1" applyFill="1" applyBorder="1" applyAlignment="1">
      <alignment wrapText="1"/>
    </xf>
    <xf numFmtId="0" fontId="15" fillId="0" borderId="1" xfId="0" applyFont="1" applyBorder="1" applyAlignment="1">
      <alignment wrapText="1"/>
    </xf>
    <xf numFmtId="44" fontId="1" fillId="9" borderId="7" xfId="5" applyFont="1" applyFill="1" applyBorder="1"/>
    <xf numFmtId="164" fontId="30" fillId="0" borderId="0" xfId="0" applyNumberFormat="1" applyFont="1" applyAlignment="1">
      <alignment wrapText="1"/>
    </xf>
    <xf numFmtId="164" fontId="0" fillId="0" borderId="0" xfId="0" applyNumberFormat="1"/>
    <xf numFmtId="0" fontId="29" fillId="8" borderId="27" xfId="0" applyFont="1" applyFill="1" applyBorder="1" applyAlignment="1">
      <alignment horizontal="right" wrapText="1"/>
    </xf>
    <xf numFmtId="167" fontId="0" fillId="8" borderId="27" xfId="0" applyNumberFormat="1" applyFill="1" applyBorder="1"/>
    <xf numFmtId="167" fontId="0" fillId="8" borderId="18" xfId="0" applyNumberFormat="1" applyFill="1" applyBorder="1"/>
    <xf numFmtId="0" fontId="29" fillId="8" borderId="31" xfId="0" applyFont="1" applyFill="1" applyBorder="1" applyAlignment="1">
      <alignment horizontal="right" wrapText="1"/>
    </xf>
    <xf numFmtId="0" fontId="0" fillId="8" borderId="93" xfId="0" applyFill="1" applyBorder="1" applyAlignment="1">
      <alignment horizontal="right" wrapText="1"/>
    </xf>
    <xf numFmtId="0" fontId="0" fillId="8" borderId="93" xfId="0" applyFill="1" applyBorder="1"/>
    <xf numFmtId="167" fontId="0" fillId="8" borderId="112" xfId="0" applyNumberFormat="1" applyFill="1" applyBorder="1"/>
    <xf numFmtId="167" fontId="0" fillId="8" borderId="113" xfId="0" applyNumberFormat="1" applyFill="1" applyBorder="1"/>
    <xf numFmtId="0" fontId="29" fillId="8" borderId="114" xfId="0" applyFont="1" applyFill="1" applyBorder="1" applyAlignment="1">
      <alignment horizontal="right" wrapText="1"/>
    </xf>
    <xf numFmtId="0" fontId="0" fillId="8" borderId="115" xfId="0" applyFill="1" applyBorder="1" applyAlignment="1">
      <alignment horizontal="right" wrapText="1"/>
    </xf>
    <xf numFmtId="0" fontId="0" fillId="8" borderId="115" xfId="0" applyFill="1" applyBorder="1"/>
    <xf numFmtId="167" fontId="0" fillId="8" borderId="115" xfId="0" applyNumberFormat="1" applyFill="1" applyBorder="1"/>
    <xf numFmtId="167" fontId="0" fillId="8" borderId="10" xfId="0" applyNumberFormat="1" applyFill="1" applyBorder="1"/>
    <xf numFmtId="167" fontId="0" fillId="8" borderId="24" xfId="0" applyNumberFormat="1" applyFill="1" applyBorder="1"/>
    <xf numFmtId="0" fontId="63" fillId="0" borderId="0" xfId="0" applyFont="1" applyAlignment="1">
      <alignment horizontal="left"/>
    </xf>
    <xf numFmtId="168" fontId="0" fillId="8" borderId="112" xfId="0" applyNumberFormat="1" applyFill="1" applyBorder="1"/>
    <xf numFmtId="0" fontId="3" fillId="14" borderId="12" xfId="0" applyFont="1" applyFill="1" applyBorder="1" applyAlignment="1">
      <alignment wrapText="1"/>
    </xf>
    <xf numFmtId="168" fontId="0" fillId="8" borderId="117" xfId="0" applyNumberFormat="1" applyFill="1" applyBorder="1"/>
    <xf numFmtId="167" fontId="0" fillId="8" borderId="13" xfId="0" applyNumberFormat="1" applyFill="1" applyBorder="1"/>
    <xf numFmtId="0" fontId="3" fillId="14" borderId="20" xfId="0" applyFont="1" applyFill="1" applyBorder="1" applyAlignment="1">
      <alignment wrapText="1"/>
    </xf>
    <xf numFmtId="0" fontId="0" fillId="11" borderId="0" xfId="0" applyFill="1" applyAlignment="1">
      <alignment horizontal="right"/>
    </xf>
    <xf numFmtId="0" fontId="0" fillId="7" borderId="0" xfId="0" applyFill="1"/>
    <xf numFmtId="0" fontId="57" fillId="7" borderId="0" xfId="0" applyFont="1" applyFill="1" applyAlignment="1">
      <alignment horizontal="right"/>
    </xf>
    <xf numFmtId="0" fontId="37" fillId="7" borderId="0" xfId="0" applyFont="1" applyFill="1" applyAlignment="1">
      <alignment horizontal="right"/>
    </xf>
    <xf numFmtId="0" fontId="0" fillId="7" borderId="0" xfId="0" applyFill="1" applyAlignment="1">
      <alignment horizontal="right"/>
    </xf>
    <xf numFmtId="0" fontId="20" fillId="7" borderId="0" xfId="0" applyFont="1" applyFill="1" applyAlignment="1">
      <alignment horizontal="right"/>
    </xf>
    <xf numFmtId="0" fontId="56" fillId="7" borderId="0" xfId="0" applyFont="1" applyFill="1" applyAlignment="1">
      <alignment horizontal="right"/>
    </xf>
    <xf numFmtId="0" fontId="34" fillId="7" borderId="0" xfId="0" applyFont="1" applyFill="1" applyAlignment="1">
      <alignment horizontal="right"/>
    </xf>
    <xf numFmtId="170" fontId="0" fillId="11" borderId="0" xfId="0" applyNumberFormat="1" applyFill="1"/>
    <xf numFmtId="170" fontId="54" fillId="11" borderId="86" xfId="0" applyNumberFormat="1" applyFont="1" applyFill="1" applyBorder="1"/>
    <xf numFmtId="170" fontId="10" fillId="11" borderId="87" xfId="0" applyNumberFormat="1" applyFont="1" applyFill="1" applyBorder="1"/>
    <xf numFmtId="170" fontId="54" fillId="11" borderId="87" xfId="0" applyNumberFormat="1" applyFont="1" applyFill="1" applyBorder="1"/>
    <xf numFmtId="0" fontId="0" fillId="8" borderId="10" xfId="0" applyFill="1" applyBorder="1"/>
    <xf numFmtId="173" fontId="0" fillId="0" borderId="1" xfId="0" applyNumberFormat="1" applyBorder="1"/>
    <xf numFmtId="173" fontId="0" fillId="0" borderId="18" xfId="0" applyNumberFormat="1" applyBorder="1"/>
    <xf numFmtId="173" fontId="11" fillId="0" borderId="1" xfId="0" applyNumberFormat="1" applyFont="1" applyBorder="1"/>
    <xf numFmtId="171" fontId="0" fillId="0" borderId="91" xfId="0" applyNumberFormat="1" applyBorder="1"/>
    <xf numFmtId="168" fontId="0" fillId="0" borderId="1" xfId="0" applyNumberFormat="1" applyBorder="1"/>
    <xf numFmtId="0" fontId="0" fillId="23" borderId="0" xfId="0" applyFill="1"/>
    <xf numFmtId="0" fontId="13" fillId="9" borderId="1" xfId="0" applyFont="1" applyFill="1" applyBorder="1" applyAlignment="1">
      <alignment horizontal="left" wrapText="1"/>
    </xf>
    <xf numFmtId="0" fontId="10" fillId="23" borderId="0" xfId="0" applyFont="1" applyFill="1"/>
    <xf numFmtId="0" fontId="11" fillId="18" borderId="35" xfId="0" applyFont="1" applyFill="1" applyBorder="1" applyAlignment="1">
      <alignment wrapText="1"/>
    </xf>
    <xf numFmtId="0" fontId="0" fillId="0" borderId="100" xfId="0" applyBorder="1"/>
    <xf numFmtId="0" fontId="11" fillId="0" borderId="91" xfId="0" applyFont="1" applyBorder="1"/>
    <xf numFmtId="171" fontId="0" fillId="0" borderId="37" xfId="0" applyNumberFormat="1" applyBorder="1"/>
    <xf numFmtId="171" fontId="0" fillId="0" borderId="1" xfId="0" applyNumberFormat="1" applyBorder="1"/>
    <xf numFmtId="0" fontId="0" fillId="19" borderId="25" xfId="0" applyFill="1" applyBorder="1" applyAlignment="1">
      <alignment wrapText="1"/>
    </xf>
    <xf numFmtId="173" fontId="15" fillId="9" borderId="1" xfId="0" applyNumberFormat="1" applyFont="1" applyFill="1" applyBorder="1"/>
    <xf numFmtId="0" fontId="64" fillId="0" borderId="7" xfId="0" applyFont="1" applyBorder="1" applyAlignment="1">
      <alignment wrapText="1"/>
    </xf>
    <xf numFmtId="9" fontId="15" fillId="11" borderId="87" xfId="0" applyNumberFormat="1" applyFont="1" applyFill="1" applyBorder="1"/>
    <xf numFmtId="0" fontId="51" fillId="0" borderId="0" xfId="7" applyAlignment="1">
      <alignment horizontal="left"/>
    </xf>
    <xf numFmtId="0" fontId="0" fillId="0" borderId="90" xfId="0" applyBorder="1"/>
    <xf numFmtId="0" fontId="0" fillId="0" borderId="104" xfId="0" applyBorder="1"/>
    <xf numFmtId="1" fontId="10" fillId="0" borderId="90" xfId="0" applyNumberFormat="1" applyFont="1" applyBorder="1" applyAlignment="1">
      <alignment horizontal="right" vertical="center" shrinkToFit="1"/>
    </xf>
    <xf numFmtId="171" fontId="0" fillId="0" borderId="19" xfId="0" applyNumberFormat="1" applyBorder="1"/>
    <xf numFmtId="0" fontId="0" fillId="0" borderId="18" xfId="0" applyBorder="1"/>
    <xf numFmtId="0" fontId="0" fillId="2" borderId="1" xfId="0" applyFill="1" applyBorder="1"/>
    <xf numFmtId="0" fontId="15" fillId="2" borderId="1" xfId="0" applyFont="1" applyFill="1" applyBorder="1"/>
    <xf numFmtId="170" fontId="0" fillId="2" borderId="7" xfId="0" applyNumberFormat="1" applyFill="1" applyBorder="1" applyAlignment="1">
      <alignment horizontal="right"/>
    </xf>
    <xf numFmtId="164" fontId="0" fillId="0" borderId="102" xfId="0" applyNumberFormat="1" applyBorder="1"/>
    <xf numFmtId="164" fontId="0" fillId="0" borderId="91" xfId="0" applyNumberFormat="1" applyBorder="1"/>
    <xf numFmtId="164" fontId="11" fillId="0" borderId="91" xfId="0" applyNumberFormat="1" applyFont="1" applyBorder="1"/>
    <xf numFmtId="164" fontId="15" fillId="9" borderId="100" xfId="0" applyNumberFormat="1" applyFont="1" applyFill="1" applyBorder="1"/>
    <xf numFmtId="164" fontId="15" fillId="9" borderId="7" xfId="0" applyNumberFormat="1" applyFont="1" applyFill="1" applyBorder="1"/>
    <xf numFmtId="164" fontId="15" fillId="9" borderId="102" xfId="0" applyNumberFormat="1" applyFont="1" applyFill="1" applyBorder="1"/>
    <xf numFmtId="0" fontId="67" fillId="9" borderId="7" xfId="0" applyFont="1" applyFill="1" applyBorder="1" applyAlignment="1">
      <alignment horizontal="right" wrapText="1"/>
    </xf>
    <xf numFmtId="0" fontId="48" fillId="9" borderId="7" xfId="0" applyFont="1" applyFill="1" applyBorder="1" applyAlignment="1">
      <alignment horizontal="right" wrapText="1"/>
    </xf>
    <xf numFmtId="0" fontId="68" fillId="0" borderId="7" xfId="0" applyFont="1" applyBorder="1" applyAlignment="1">
      <alignment horizontal="right" wrapText="1"/>
    </xf>
    <xf numFmtId="0" fontId="67" fillId="9" borderId="7" xfId="0" applyFont="1" applyFill="1" applyBorder="1" applyAlignment="1">
      <alignment wrapText="1"/>
    </xf>
    <xf numFmtId="0" fontId="21" fillId="0" borderId="7" xfId="0" applyFont="1" applyBorder="1"/>
    <xf numFmtId="0" fontId="0" fillId="6" borderId="111" xfId="0" applyFill="1" applyBorder="1" applyAlignment="1" applyProtection="1">
      <alignment horizontal="right"/>
      <protection locked="0"/>
    </xf>
    <xf numFmtId="1" fontId="0" fillId="11" borderId="8" xfId="0" applyNumberFormat="1" applyFill="1" applyBorder="1"/>
    <xf numFmtId="0" fontId="57" fillId="7" borderId="0" xfId="0" applyFont="1" applyFill="1" applyAlignment="1">
      <alignment horizontal="right" wrapText="1"/>
    </xf>
    <xf numFmtId="0" fontId="65" fillId="0" borderId="0" xfId="0" applyFont="1" applyAlignment="1">
      <alignment wrapText="1"/>
    </xf>
    <xf numFmtId="0" fontId="34" fillId="0" borderId="0" xfId="0" applyFont="1" applyAlignment="1">
      <alignment wrapText="1"/>
    </xf>
    <xf numFmtId="0" fontId="69" fillId="0" borderId="1" xfId="0" applyFont="1" applyBorder="1"/>
    <xf numFmtId="0" fontId="70" fillId="0" borderId="1" xfId="0" applyFont="1" applyBorder="1"/>
    <xf numFmtId="0" fontId="21" fillId="0" borderId="1" xfId="0" applyFont="1" applyBorder="1"/>
    <xf numFmtId="167" fontId="11" fillId="8" borderId="20" xfId="0" applyNumberFormat="1" applyFont="1" applyFill="1" applyBorder="1"/>
    <xf numFmtId="167" fontId="11" fillId="8" borderId="22" xfId="0" applyNumberFormat="1" applyFont="1" applyFill="1" applyBorder="1"/>
    <xf numFmtId="0" fontId="0" fillId="0" borderId="1" xfId="0" applyBorder="1" applyAlignment="1">
      <alignment horizontal="left" vertical="center" wrapText="1"/>
    </xf>
    <xf numFmtId="0" fontId="71" fillId="0" borderId="0" xfId="0" applyFont="1"/>
    <xf numFmtId="0" fontId="47" fillId="0" borderId="1" xfId="0" applyFont="1" applyBorder="1" applyAlignment="1">
      <alignment wrapText="1"/>
    </xf>
    <xf numFmtId="0" fontId="0" fillId="0" borderId="1" xfId="0" applyBorder="1" applyAlignment="1">
      <alignment horizontal="center" vertical="top" wrapText="1"/>
    </xf>
    <xf numFmtId="0" fontId="73" fillId="0" borderId="0" xfId="0" applyFont="1"/>
    <xf numFmtId="0" fontId="15" fillId="11" borderId="1" xfId="0" applyFont="1" applyFill="1" applyBorder="1"/>
    <xf numFmtId="0" fontId="0" fillId="0" borderId="11" xfId="0" applyBorder="1"/>
    <xf numFmtId="0" fontId="0" fillId="0" borderId="9" xfId="0" applyBorder="1" applyAlignment="1">
      <alignment horizontal="center"/>
    </xf>
    <xf numFmtId="0" fontId="0" fillId="0" borderId="18" xfId="0" applyBorder="1" applyAlignment="1">
      <alignment horizontal="right" wrapText="1"/>
    </xf>
    <xf numFmtId="0" fontId="11" fillId="0" borderId="1" xfId="0" applyFont="1" applyBorder="1" applyAlignment="1">
      <alignment horizontal="left"/>
    </xf>
    <xf numFmtId="0" fontId="15" fillId="0" borderId="18" xfId="0" applyFont="1" applyBorder="1" applyAlignment="1">
      <alignment horizontal="right" wrapText="1"/>
    </xf>
    <xf numFmtId="0" fontId="15" fillId="0" borderId="1" xfId="0" applyFont="1" applyBorder="1" applyAlignment="1">
      <alignment horizontal="left"/>
    </xf>
    <xf numFmtId="0" fontId="51" fillId="0" borderId="18" xfId="7" applyFill="1" applyBorder="1" applyAlignment="1">
      <alignment horizontal="right" wrapText="1"/>
    </xf>
    <xf numFmtId="0" fontId="15" fillId="0" borderId="18" xfId="0" applyFont="1" applyBorder="1" applyAlignment="1">
      <alignment horizontal="right"/>
    </xf>
    <xf numFmtId="0" fontId="0" fillId="0" borderId="11" xfId="0" applyBorder="1" applyAlignment="1">
      <alignment horizontal="right"/>
    </xf>
    <xf numFmtId="0" fontId="0" fillId="0" borderId="0" xfId="0" applyAlignment="1">
      <alignment horizontal="center"/>
    </xf>
    <xf numFmtId="0" fontId="15" fillId="0" borderId="11" xfId="0" applyFont="1" applyBorder="1" applyAlignment="1">
      <alignment horizontal="right"/>
    </xf>
    <xf numFmtId="0" fontId="74" fillId="25" borderId="0" xfId="0" applyFont="1" applyFill="1" applyAlignment="1">
      <alignment wrapText="1"/>
    </xf>
    <xf numFmtId="0" fontId="15" fillId="0" borderId="9" xfId="0" applyFont="1" applyBorder="1" applyAlignment="1">
      <alignment horizontal="right"/>
    </xf>
    <xf numFmtId="0" fontId="0" fillId="0" borderId="9" xfId="0" applyBorder="1" applyAlignment="1">
      <alignment horizontal="right"/>
    </xf>
    <xf numFmtId="0" fontId="0" fillId="0" borderId="18" xfId="0" applyBorder="1" applyAlignment="1">
      <alignment horizontal="right"/>
    </xf>
    <xf numFmtId="44" fontId="0" fillId="0" borderId="1" xfId="5" applyFont="1" applyFill="1" applyBorder="1"/>
    <xf numFmtId="44" fontId="15" fillId="9" borderId="1" xfId="5" applyFont="1" applyFill="1" applyBorder="1" applyAlignment="1"/>
    <xf numFmtId="0" fontId="47" fillId="11" borderId="1" xfId="0" applyFont="1" applyFill="1" applyBorder="1" applyAlignment="1">
      <alignment wrapText="1"/>
    </xf>
    <xf numFmtId="0" fontId="17" fillId="11" borderId="1" xfId="0" applyFont="1" applyFill="1" applyBorder="1" applyAlignment="1">
      <alignment horizontal="left"/>
    </xf>
    <xf numFmtId="0" fontId="12" fillId="11" borderId="1" xfId="0" applyFont="1" applyFill="1" applyBorder="1" applyAlignment="1">
      <alignment horizontal="left"/>
    </xf>
    <xf numFmtId="0" fontId="21" fillId="11" borderId="1" xfId="0" applyFont="1" applyFill="1" applyBorder="1" applyAlignment="1">
      <alignment wrapText="1"/>
    </xf>
    <xf numFmtId="0" fontId="15" fillId="0" borderId="1" xfId="0" applyFont="1" applyBorder="1"/>
    <xf numFmtId="0" fontId="11" fillId="11" borderId="1" xfId="0" applyFont="1" applyFill="1" applyBorder="1"/>
    <xf numFmtId="0" fontId="11" fillId="9" borderId="1" xfId="0" applyFont="1" applyFill="1" applyBorder="1"/>
    <xf numFmtId="0" fontId="77" fillId="25" borderId="0" xfId="0" applyFont="1" applyFill="1" applyAlignment="1">
      <alignment wrapText="1"/>
    </xf>
    <xf numFmtId="0" fontId="72" fillId="25" borderId="0" xfId="0" applyFont="1" applyFill="1" applyAlignment="1">
      <alignment wrapText="1"/>
    </xf>
    <xf numFmtId="0" fontId="3" fillId="11" borderId="9" xfId="0" applyFont="1" applyFill="1" applyBorder="1" applyAlignment="1">
      <alignment wrapText="1"/>
    </xf>
    <xf numFmtId="0" fontId="3" fillId="11" borderId="9" xfId="0" applyFont="1" applyFill="1" applyBorder="1"/>
    <xf numFmtId="44" fontId="1" fillId="11" borderId="1" xfId="5" applyFont="1" applyFill="1" applyBorder="1"/>
    <xf numFmtId="0" fontId="0" fillId="0" borderId="1" xfId="0" applyBorder="1" applyAlignment="1">
      <alignment horizontal="center" wrapText="1"/>
    </xf>
    <xf numFmtId="0" fontId="0" fillId="0" borderId="1" xfId="0" applyBorder="1" applyAlignment="1">
      <alignment horizontal="left" vertical="top" wrapText="1"/>
    </xf>
    <xf numFmtId="0" fontId="15" fillId="0" borderId="1" xfId="0" applyFont="1" applyBorder="1" applyAlignment="1">
      <alignment horizontal="left" wrapText="1"/>
    </xf>
    <xf numFmtId="0" fontId="0" fillId="11" borderId="1" xfId="0" applyFill="1" applyBorder="1" applyAlignment="1">
      <alignment horizontal="left" wrapText="1"/>
    </xf>
    <xf numFmtId="0" fontId="36" fillId="0" borderId="1" xfId="0" applyFont="1" applyBorder="1" applyAlignment="1">
      <alignment wrapText="1"/>
    </xf>
    <xf numFmtId="44" fontId="1" fillId="9" borderId="1" xfId="5" applyFont="1" applyFill="1" applyBorder="1" applyAlignment="1"/>
    <xf numFmtId="0" fontId="0" fillId="26" borderId="0" xfId="0" applyFill="1"/>
    <xf numFmtId="0" fontId="0" fillId="26" borderId="0" xfId="0" applyFill="1" applyAlignment="1">
      <alignment wrapText="1"/>
    </xf>
    <xf numFmtId="0" fontId="0" fillId="24" borderId="0" xfId="0" applyFill="1"/>
    <xf numFmtId="0" fontId="0" fillId="0" borderId="58" xfId="0" applyBorder="1" applyAlignment="1">
      <alignment horizontal="left"/>
    </xf>
    <xf numFmtId="0" fontId="15" fillId="14" borderId="18" xfId="0" applyFont="1" applyFill="1" applyBorder="1" applyAlignment="1">
      <alignment horizontal="center"/>
    </xf>
    <xf numFmtId="0" fontId="0" fillId="11" borderId="86" xfId="0" applyFill="1" applyBorder="1"/>
    <xf numFmtId="0" fontId="10" fillId="11" borderId="87" xfId="0" applyFont="1" applyFill="1" applyBorder="1"/>
    <xf numFmtId="0" fontId="0" fillId="11" borderId="87" xfId="0" applyFill="1" applyBorder="1"/>
    <xf numFmtId="0" fontId="3" fillId="0" borderId="8" xfId="0" applyFont="1" applyBorder="1" applyAlignment="1">
      <alignment wrapText="1"/>
    </xf>
    <xf numFmtId="0" fontId="15" fillId="9" borderId="9" xfId="0" applyFont="1" applyFill="1" applyBorder="1" applyAlignment="1">
      <alignment horizontal="right"/>
    </xf>
    <xf numFmtId="170" fontId="11" fillId="0" borderId="7" xfId="0" applyNumberFormat="1" applyFont="1" applyBorder="1" applyAlignment="1">
      <alignment vertical="top"/>
    </xf>
    <xf numFmtId="170" fontId="11" fillId="11" borderId="25" xfId="0" applyNumberFormat="1" applyFont="1" applyFill="1" applyBorder="1"/>
    <xf numFmtId="0" fontId="11" fillId="24" borderId="0" xfId="0" applyFont="1" applyFill="1"/>
    <xf numFmtId="0" fontId="11" fillId="24" borderId="0" xfId="0" applyFont="1" applyFill="1" applyAlignment="1">
      <alignment wrapText="1"/>
    </xf>
    <xf numFmtId="0" fontId="2" fillId="0" borderId="0" xfId="0" applyFont="1"/>
    <xf numFmtId="0" fontId="11" fillId="0" borderId="1" xfId="0" applyFont="1" applyBorder="1" applyAlignment="1">
      <alignment vertical="center"/>
    </xf>
    <xf numFmtId="0" fontId="15" fillId="0" borderId="1" xfId="0" applyFont="1" applyBorder="1" applyAlignment="1">
      <alignment vertical="top" wrapText="1"/>
    </xf>
    <xf numFmtId="0" fontId="0" fillId="0" borderId="1" xfId="0" applyBorder="1" applyAlignment="1">
      <alignment horizontal="center"/>
    </xf>
    <xf numFmtId="0" fontId="0" fillId="0" borderId="1" xfId="0" applyBorder="1" applyAlignment="1">
      <alignment vertical="top" wrapText="1"/>
    </xf>
    <xf numFmtId="171" fontId="1" fillId="0" borderId="25" xfId="5" applyNumberFormat="1" applyFont="1" applyFill="1" applyBorder="1"/>
    <xf numFmtId="0" fontId="0" fillId="24" borderId="37" xfId="0" applyFill="1" applyBorder="1"/>
    <xf numFmtId="0" fontId="0" fillId="0" borderId="101" xfId="0" applyBorder="1" applyAlignment="1">
      <alignment horizontal="right"/>
    </xf>
    <xf numFmtId="0" fontId="66" fillId="0" borderId="37" xfId="0" applyFont="1" applyBorder="1"/>
    <xf numFmtId="0" fontId="66" fillId="0" borderId="1" xfId="0" applyFont="1" applyBorder="1"/>
    <xf numFmtId="164" fontId="66" fillId="0" borderId="19" xfId="0" applyNumberFormat="1" applyFont="1" applyBorder="1"/>
    <xf numFmtId="0" fontId="78" fillId="0" borderId="25" xfId="0" applyFont="1" applyBorder="1"/>
    <xf numFmtId="44" fontId="0" fillId="0" borderId="0" xfId="0" applyNumberFormat="1"/>
    <xf numFmtId="0" fontId="11" fillId="0" borderId="102" xfId="0" applyFont="1" applyBorder="1"/>
    <xf numFmtId="0" fontId="0" fillId="0" borderId="1" xfId="0" applyBorder="1" applyAlignment="1">
      <alignment horizontal="center" vertical="center"/>
    </xf>
    <xf numFmtId="0" fontId="15" fillId="0" borderId="1" xfId="0" applyFont="1" applyBorder="1" applyAlignment="1">
      <alignment horizontal="center" vertical="center" wrapText="1"/>
    </xf>
    <xf numFmtId="43" fontId="0" fillId="0" borderId="0" xfId="0" applyNumberFormat="1"/>
    <xf numFmtId="0" fontId="0" fillId="6" borderId="8" xfId="0" applyFill="1" applyBorder="1" applyAlignment="1" applyProtection="1">
      <alignment horizontal="right"/>
      <protection locked="0"/>
    </xf>
    <xf numFmtId="0" fontId="0" fillId="6" borderId="93" xfId="0" applyFill="1" applyBorder="1" applyAlignment="1" applyProtection="1">
      <alignment wrapText="1"/>
      <protection locked="0"/>
    </xf>
    <xf numFmtId="0" fontId="0" fillId="6" borderId="93" xfId="0" applyFill="1" applyBorder="1" applyProtection="1">
      <protection locked="0"/>
    </xf>
    <xf numFmtId="0" fontId="0" fillId="6" borderId="115" xfId="0" applyFill="1" applyBorder="1" applyProtection="1">
      <protection locked="0"/>
    </xf>
    <xf numFmtId="0" fontId="0" fillId="6" borderId="27" xfId="0" applyFill="1" applyBorder="1" applyProtection="1">
      <protection locked="0"/>
    </xf>
    <xf numFmtId="167" fontId="0" fillId="6" borderId="93" xfId="0" applyNumberFormat="1" applyFill="1" applyBorder="1" applyProtection="1">
      <protection locked="0"/>
    </xf>
    <xf numFmtId="167" fontId="0" fillId="6" borderId="77" xfId="0" applyNumberFormat="1" applyFill="1" applyBorder="1" applyProtection="1">
      <protection locked="0"/>
    </xf>
    <xf numFmtId="0" fontId="15" fillId="11" borderId="37" xfId="0" applyFont="1" applyFill="1" applyBorder="1"/>
    <xf numFmtId="170" fontId="15" fillId="0" borderId="7" xfId="0" applyNumberFormat="1" applyFont="1" applyBorder="1" applyAlignment="1">
      <alignment vertical="top"/>
    </xf>
    <xf numFmtId="0" fontId="15" fillId="0" borderId="25" xfId="0" applyFont="1" applyBorder="1" applyAlignment="1">
      <alignment wrapText="1"/>
    </xf>
    <xf numFmtId="0" fontId="15" fillId="0" borderId="91" xfId="0" applyFont="1" applyBorder="1" applyAlignment="1">
      <alignment horizontal="right"/>
    </xf>
    <xf numFmtId="0" fontId="15" fillId="0" borderId="25" xfId="0" applyFont="1" applyBorder="1" applyAlignment="1">
      <alignment horizontal="right"/>
    </xf>
    <xf numFmtId="0" fontId="11" fillId="24" borderId="81" xfId="0" applyFont="1" applyFill="1" applyBorder="1"/>
    <xf numFmtId="0" fontId="0" fillId="24" borderId="1" xfId="0" applyFill="1" applyBorder="1"/>
    <xf numFmtId="0" fontId="15" fillId="0" borderId="1" xfId="0" applyFont="1" applyBorder="1" applyAlignment="1">
      <alignment horizontal="left" vertical="center" wrapText="1"/>
    </xf>
    <xf numFmtId="0" fontId="3" fillId="0" borderId="118" xfId="0" applyFont="1" applyBorder="1" applyAlignment="1">
      <alignment wrapText="1"/>
    </xf>
    <xf numFmtId="167" fontId="11" fillId="8" borderId="43" xfId="1" applyNumberFormat="1" applyFont="1" applyFill="1" applyBorder="1" applyProtection="1"/>
    <xf numFmtId="167" fontId="11" fillId="8" borderId="119" xfId="2" applyNumberFormat="1" applyFont="1" applyFill="1" applyBorder="1" applyProtection="1"/>
    <xf numFmtId="167" fontId="11" fillId="8" borderId="2" xfId="0" applyNumberFormat="1" applyFont="1" applyFill="1" applyBorder="1"/>
    <xf numFmtId="167" fontId="11" fillId="8" borderId="23" xfId="0" applyNumberFormat="1" applyFont="1" applyFill="1" applyBorder="1"/>
    <xf numFmtId="168" fontId="0" fillId="8" borderId="2" xfId="0" applyNumberFormat="1" applyFill="1" applyBorder="1"/>
    <xf numFmtId="168" fontId="0" fillId="8" borderId="23" xfId="0" applyNumberFormat="1" applyFill="1" applyBorder="1"/>
    <xf numFmtId="168" fontId="0" fillId="8" borderId="3" xfId="0" applyNumberFormat="1" applyFill="1" applyBorder="1"/>
    <xf numFmtId="168" fontId="0" fillId="8" borderId="24" xfId="0" applyNumberFormat="1" applyFill="1" applyBorder="1"/>
    <xf numFmtId="44" fontId="15" fillId="11" borderId="1" xfId="5" applyFont="1" applyFill="1" applyBorder="1" applyAlignment="1"/>
    <xf numFmtId="44" fontId="0" fillId="9" borderId="1" xfId="5" applyFont="1" applyFill="1" applyBorder="1"/>
    <xf numFmtId="44" fontId="0" fillId="11" borderId="1" xfId="5" applyFont="1" applyFill="1" applyBorder="1"/>
    <xf numFmtId="0" fontId="15" fillId="0" borderId="1" xfId="0" applyFont="1" applyBorder="1" applyAlignment="1">
      <alignment vertical="center" wrapText="1"/>
    </xf>
    <xf numFmtId="0" fontId="15" fillId="13" borderId="9" xfId="0" applyFont="1" applyFill="1" applyBorder="1"/>
    <xf numFmtId="168" fontId="15" fillId="9" borderId="26" xfId="5" applyNumberFormat="1" applyFont="1" applyFill="1" applyBorder="1"/>
    <xf numFmtId="171" fontId="1" fillId="0" borderId="89" xfId="5" applyNumberFormat="1" applyFont="1" applyFill="1" applyBorder="1"/>
    <xf numFmtId="171" fontId="0" fillId="0" borderId="70" xfId="0" applyNumberFormat="1" applyBorder="1"/>
    <xf numFmtId="171" fontId="0" fillId="0" borderId="9" xfId="0" applyNumberFormat="1" applyBorder="1"/>
    <xf numFmtId="0" fontId="15" fillId="13" borderId="11" xfId="0" applyFont="1" applyFill="1" applyBorder="1"/>
    <xf numFmtId="168" fontId="15" fillId="9" borderId="28" xfId="5" applyNumberFormat="1" applyFont="1" applyFill="1" applyBorder="1"/>
    <xf numFmtId="0" fontId="0" fillId="24" borderId="81" xfId="0" applyFill="1" applyBorder="1"/>
    <xf numFmtId="0" fontId="0" fillId="24" borderId="32" xfId="0" applyFill="1" applyBorder="1"/>
    <xf numFmtId="0" fontId="0" fillId="24" borderId="38" xfId="0" applyFill="1" applyBorder="1"/>
    <xf numFmtId="0" fontId="15" fillId="0" borderId="1" xfId="5" applyNumberFormat="1" applyFont="1" applyFill="1" applyBorder="1" applyAlignment="1">
      <alignment horizontal="left"/>
    </xf>
    <xf numFmtId="0" fontId="15" fillId="0" borderId="9" xfId="5" applyNumberFormat="1" applyFont="1" applyFill="1" applyBorder="1" applyAlignment="1">
      <alignment horizontal="left"/>
    </xf>
    <xf numFmtId="0" fontId="15" fillId="0" borderId="11" xfId="5" applyNumberFormat="1" applyFont="1" applyFill="1" applyBorder="1" applyAlignment="1">
      <alignment horizontal="left"/>
    </xf>
    <xf numFmtId="171" fontId="1" fillId="0" borderId="1" xfId="5" applyNumberFormat="1" applyFont="1" applyFill="1" applyBorder="1"/>
    <xf numFmtId="0" fontId="15" fillId="9" borderId="19" xfId="0" applyFont="1" applyFill="1" applyBorder="1"/>
    <xf numFmtId="0" fontId="0" fillId="9" borderId="19" xfId="0" applyFill="1" applyBorder="1"/>
    <xf numFmtId="0" fontId="15" fillId="0" borderId="91" xfId="0" applyFont="1" applyBorder="1"/>
    <xf numFmtId="0" fontId="15" fillId="0" borderId="100" xfId="0" applyFont="1" applyBorder="1"/>
    <xf numFmtId="170" fontId="15" fillId="0" borderId="35" xfId="0" applyNumberFormat="1" applyFont="1" applyBorder="1" applyAlignment="1">
      <alignment vertical="top"/>
    </xf>
    <xf numFmtId="0" fontId="15" fillId="11" borderId="70" xfId="0" applyFont="1" applyFill="1" applyBorder="1"/>
    <xf numFmtId="170" fontId="15" fillId="0" borderId="1" xfId="0" applyNumberFormat="1" applyFont="1" applyBorder="1" applyAlignment="1">
      <alignment vertical="top"/>
    </xf>
    <xf numFmtId="0" fontId="22" fillId="0" borderId="108" xfId="0" applyFont="1" applyBorder="1" applyAlignment="1">
      <alignment wrapText="1"/>
    </xf>
    <xf numFmtId="0" fontId="0" fillId="6" borderId="116" xfId="0" applyFill="1" applyBorder="1" applyAlignment="1" applyProtection="1">
      <alignment horizontal="right"/>
      <protection locked="0"/>
    </xf>
    <xf numFmtId="1" fontId="10" fillId="8" borderId="121" xfId="0" applyNumberFormat="1" applyFont="1" applyFill="1" applyBorder="1" applyAlignment="1">
      <alignment horizontal="right"/>
    </xf>
    <xf numFmtId="1" fontId="10" fillId="8" borderId="116" xfId="0" applyNumberFormat="1" applyFont="1" applyFill="1" applyBorder="1" applyAlignment="1">
      <alignment horizontal="right"/>
    </xf>
    <xf numFmtId="0" fontId="21" fillId="8" borderId="116" xfId="0" applyFont="1" applyFill="1" applyBorder="1"/>
    <xf numFmtId="9" fontId="21" fillId="8" borderId="122" xfId="0" applyNumberFormat="1" applyFont="1" applyFill="1" applyBorder="1"/>
    <xf numFmtId="0" fontId="2" fillId="2" borderId="124" xfId="0" applyFont="1" applyFill="1" applyBorder="1" applyAlignment="1">
      <alignment horizontal="left" vertical="center" wrapText="1"/>
    </xf>
    <xf numFmtId="167" fontId="11" fillId="8" borderId="63" xfId="0" applyNumberFormat="1" applyFont="1" applyFill="1" applyBorder="1"/>
    <xf numFmtId="167" fontId="11" fillId="8" borderId="64" xfId="0" applyNumberFormat="1" applyFont="1" applyFill="1" applyBorder="1"/>
    <xf numFmtId="0" fontId="0" fillId="13" borderId="123" xfId="0" applyFill="1" applyBorder="1"/>
    <xf numFmtId="0" fontId="0" fillId="13" borderId="122" xfId="0" applyFill="1" applyBorder="1"/>
    <xf numFmtId="0" fontId="0" fillId="27" borderId="0" xfId="0" applyFill="1"/>
    <xf numFmtId="0" fontId="3" fillId="27" borderId="0" xfId="0" applyFont="1" applyFill="1"/>
    <xf numFmtId="0" fontId="79" fillId="27" borderId="0" xfId="0" applyFont="1" applyFill="1"/>
    <xf numFmtId="0" fontId="15" fillId="27" borderId="0" xfId="0" applyFont="1" applyFill="1" applyAlignment="1">
      <alignment vertical="top" wrapText="1"/>
    </xf>
    <xf numFmtId="0" fontId="0" fillId="29" borderId="123" xfId="0" applyFill="1" applyBorder="1" applyAlignment="1" applyProtection="1">
      <alignment horizontal="right"/>
      <protection locked="0"/>
    </xf>
    <xf numFmtId="0" fontId="0" fillId="29" borderId="110" xfId="0" applyFill="1" applyBorder="1" applyAlignment="1" applyProtection="1">
      <alignment horizontal="right"/>
      <protection locked="0"/>
    </xf>
    <xf numFmtId="0" fontId="0" fillId="29" borderId="116" xfId="0" applyFill="1" applyBorder="1" applyAlignment="1" applyProtection="1">
      <alignment horizontal="right"/>
      <protection locked="0"/>
    </xf>
    <xf numFmtId="0" fontId="0" fillId="29" borderId="116" xfId="0" applyFill="1" applyBorder="1" applyAlignment="1" applyProtection="1">
      <alignment horizontal="right" wrapText="1"/>
      <protection locked="0"/>
    </xf>
    <xf numFmtId="0" fontId="10" fillId="29" borderId="116" xfId="0" applyFont="1" applyFill="1" applyBorder="1" applyAlignment="1" applyProtection="1">
      <alignment horizontal="right" wrapText="1"/>
      <protection locked="0"/>
    </xf>
    <xf numFmtId="0" fontId="11" fillId="29" borderId="25" xfId="0" applyFont="1" applyFill="1" applyBorder="1" applyProtection="1">
      <protection locked="0"/>
    </xf>
    <xf numFmtId="0" fontId="0" fillId="29" borderId="27" xfId="0" applyFill="1" applyBorder="1" applyProtection="1">
      <protection locked="0"/>
    </xf>
    <xf numFmtId="0" fontId="0" fillId="29" borderId="26" xfId="0" applyFill="1" applyBorder="1" applyProtection="1">
      <protection locked="0"/>
    </xf>
    <xf numFmtId="0" fontId="0" fillId="29" borderId="96" xfId="0" applyFill="1" applyBorder="1" applyProtection="1">
      <protection locked="0"/>
    </xf>
    <xf numFmtId="0" fontId="0" fillId="29" borderId="27" xfId="0" applyFill="1" applyBorder="1" applyAlignment="1" applyProtection="1">
      <alignment wrapText="1"/>
      <protection locked="0"/>
    </xf>
    <xf numFmtId="0" fontId="0" fillId="29" borderId="93" xfId="0" applyFill="1" applyBorder="1" applyAlignment="1" applyProtection="1">
      <alignment wrapText="1"/>
      <protection locked="0"/>
    </xf>
    <xf numFmtId="0" fontId="0" fillId="29" borderId="26" xfId="0" applyFill="1" applyBorder="1" applyAlignment="1" applyProtection="1">
      <alignment wrapText="1"/>
      <protection locked="0"/>
    </xf>
    <xf numFmtId="0" fontId="3" fillId="29" borderId="8" xfId="0" applyFont="1" applyFill="1" applyBorder="1" applyAlignment="1" applyProtection="1">
      <alignment horizontal="right"/>
      <protection locked="0"/>
    </xf>
    <xf numFmtId="0" fontId="0" fillId="30" borderId="116" xfId="0" applyFill="1" applyBorder="1" applyAlignment="1" applyProtection="1">
      <alignment horizontal="right" wrapText="1"/>
      <protection locked="0"/>
    </xf>
    <xf numFmtId="9" fontId="0" fillId="30" borderId="116" xfId="0" applyNumberFormat="1" applyFill="1" applyBorder="1" applyAlignment="1" applyProtection="1">
      <alignment horizontal="right"/>
      <protection locked="0"/>
    </xf>
    <xf numFmtId="0" fontId="0" fillId="30" borderId="26" xfId="0" applyFill="1" applyBorder="1" applyProtection="1">
      <protection locked="0"/>
    </xf>
    <xf numFmtId="0" fontId="0" fillId="30" borderId="26" xfId="0" applyFill="1" applyBorder="1" applyAlignment="1" applyProtection="1">
      <alignment wrapText="1"/>
      <protection locked="0"/>
    </xf>
    <xf numFmtId="1" fontId="11" fillId="30" borderId="26" xfId="0" applyNumberFormat="1" applyFont="1" applyFill="1" applyBorder="1" applyAlignment="1" applyProtection="1">
      <alignment wrapText="1"/>
      <protection locked="0"/>
    </xf>
    <xf numFmtId="167" fontId="0" fillId="30" borderId="26" xfId="0" applyNumberFormat="1" applyFill="1" applyBorder="1" applyProtection="1">
      <protection locked="0"/>
    </xf>
    <xf numFmtId="167" fontId="11" fillId="30" borderId="26" xfId="0" applyNumberFormat="1" applyFont="1" applyFill="1" applyBorder="1" applyProtection="1">
      <protection locked="0"/>
    </xf>
    <xf numFmtId="0" fontId="11" fillId="30" borderId="32" xfId="0" applyFont="1" applyFill="1" applyBorder="1" applyProtection="1">
      <protection locked="0"/>
    </xf>
    <xf numFmtId="0" fontId="11" fillId="30" borderId="26" xfId="0" applyFont="1" applyFill="1" applyBorder="1" applyAlignment="1" applyProtection="1">
      <alignment wrapText="1"/>
      <protection locked="0"/>
    </xf>
    <xf numFmtId="170" fontId="11" fillId="30" borderId="26" xfId="0" applyNumberFormat="1" applyFont="1" applyFill="1" applyBorder="1" applyProtection="1">
      <protection locked="0"/>
    </xf>
    <xf numFmtId="0" fontId="0" fillId="30" borderId="93" xfId="0" applyFill="1" applyBorder="1" applyAlignment="1" applyProtection="1">
      <alignment wrapText="1"/>
      <protection locked="0"/>
    </xf>
    <xf numFmtId="0" fontId="0" fillId="30" borderId="115" xfId="0" applyFill="1" applyBorder="1" applyAlignment="1" applyProtection="1">
      <alignment wrapText="1"/>
      <protection locked="0"/>
    </xf>
    <xf numFmtId="0" fontId="0" fillId="30" borderId="27" xfId="0" applyFill="1" applyBorder="1" applyAlignment="1" applyProtection="1">
      <alignment wrapText="1"/>
      <protection locked="0"/>
    </xf>
    <xf numFmtId="167" fontId="0" fillId="30" borderId="93" xfId="0" applyNumberFormat="1" applyFill="1" applyBorder="1" applyProtection="1">
      <protection locked="0"/>
    </xf>
    <xf numFmtId="167" fontId="0" fillId="30" borderId="115" xfId="0" applyNumberFormat="1" applyFill="1" applyBorder="1" applyProtection="1">
      <protection locked="0"/>
    </xf>
    <xf numFmtId="167" fontId="0" fillId="30" borderId="27" xfId="0" applyNumberFormat="1" applyFill="1" applyBorder="1" applyProtection="1">
      <protection locked="0"/>
    </xf>
    <xf numFmtId="167" fontId="0" fillId="30" borderId="1" xfId="0" applyNumberFormat="1" applyFill="1" applyBorder="1" applyProtection="1">
      <protection locked="0"/>
    </xf>
    <xf numFmtId="167" fontId="0" fillId="30" borderId="19" xfId="0" applyNumberFormat="1" applyFill="1" applyBorder="1" applyProtection="1">
      <protection locked="0"/>
    </xf>
    <xf numFmtId="3" fontId="0" fillId="8" borderId="22" xfId="0" applyNumberFormat="1" applyFill="1" applyBorder="1"/>
    <xf numFmtId="3" fontId="0" fillId="8" borderId="13" xfId="0" applyNumberFormat="1" applyFill="1" applyBorder="1"/>
    <xf numFmtId="3" fontId="0" fillId="8" borderId="64" xfId="0" applyNumberFormat="1" applyFill="1" applyBorder="1"/>
    <xf numFmtId="3" fontId="0" fillId="8" borderId="23" xfId="0" applyNumberFormat="1" applyFill="1" applyBorder="1"/>
    <xf numFmtId="3" fontId="8" fillId="2" borderId="24" xfId="0" applyNumberFormat="1" applyFont="1" applyFill="1" applyBorder="1"/>
    <xf numFmtId="4" fontId="0" fillId="8" borderId="21" xfId="0" applyNumberFormat="1" applyFill="1" applyBorder="1"/>
    <xf numFmtId="4" fontId="0" fillId="8" borderId="1" xfId="0" applyNumberFormat="1" applyFill="1" applyBorder="1"/>
    <xf numFmtId="4" fontId="8" fillId="2" borderId="10" xfId="0" applyNumberFormat="1" applyFont="1" applyFill="1" applyBorder="1"/>
    <xf numFmtId="4" fontId="0" fillId="8" borderId="117" xfId="0" applyNumberFormat="1" applyFill="1" applyBorder="1"/>
    <xf numFmtId="4" fontId="0" fillId="8" borderId="112" xfId="0" applyNumberFormat="1" applyFill="1" applyBorder="1"/>
    <xf numFmtId="0" fontId="0" fillId="31" borderId="116" xfId="0" applyFill="1" applyBorder="1" applyAlignment="1" applyProtection="1">
      <alignment horizontal="right" wrapText="1"/>
      <protection locked="0"/>
    </xf>
    <xf numFmtId="0" fontId="0" fillId="31" borderId="8" xfId="0" applyFill="1" applyBorder="1" applyProtection="1">
      <protection locked="0"/>
    </xf>
    <xf numFmtId="0" fontId="0" fillId="31" borderId="8" xfId="0" applyFill="1" applyBorder="1" applyAlignment="1" applyProtection="1">
      <alignment horizontal="right"/>
      <protection locked="0"/>
    </xf>
    <xf numFmtId="0" fontId="0" fillId="30" borderId="90" xfId="0" applyFill="1" applyBorder="1" applyAlignment="1">
      <alignment horizontal="right" wrapText="1"/>
    </xf>
    <xf numFmtId="0" fontId="8" fillId="2" borderId="25" xfId="0" applyFont="1" applyFill="1" applyBorder="1" applyAlignment="1">
      <alignment horizontal="right" wrapText="1"/>
    </xf>
    <xf numFmtId="0" fontId="0" fillId="0" borderId="25" xfId="0" applyBorder="1" applyAlignment="1">
      <alignment horizontal="right" wrapText="1"/>
    </xf>
    <xf numFmtId="0" fontId="0" fillId="8" borderId="25" xfId="0" applyFill="1" applyBorder="1" applyAlignment="1">
      <alignment horizontal="right" wrapText="1"/>
    </xf>
    <xf numFmtId="0" fontId="0" fillId="29" borderId="89" xfId="0" applyFill="1" applyBorder="1" applyAlignment="1">
      <alignment horizontal="right" wrapText="1"/>
    </xf>
    <xf numFmtId="0" fontId="0" fillId="6" borderId="89" xfId="0" applyFill="1" applyBorder="1" applyAlignment="1">
      <alignment horizontal="right" wrapText="1"/>
    </xf>
    <xf numFmtId="0" fontId="0" fillId="31" borderId="1" xfId="0" applyFill="1" applyBorder="1" applyAlignment="1">
      <alignment horizontal="right" wrapText="1"/>
    </xf>
    <xf numFmtId="0" fontId="0" fillId="31" borderId="93" xfId="0" applyFill="1" applyBorder="1" applyAlignment="1" applyProtection="1">
      <alignment wrapText="1"/>
      <protection locked="0"/>
    </xf>
    <xf numFmtId="0" fontId="0" fillId="31" borderId="115" xfId="0" applyFill="1" applyBorder="1" applyAlignment="1" applyProtection="1">
      <alignment wrapText="1"/>
      <protection locked="0"/>
    </xf>
    <xf numFmtId="0" fontId="0" fillId="31" borderId="27" xfId="0" applyFill="1" applyBorder="1" applyProtection="1">
      <protection locked="0"/>
    </xf>
    <xf numFmtId="0" fontId="0" fillId="31" borderId="26" xfId="0" applyFill="1" applyBorder="1" applyProtection="1">
      <protection locked="0"/>
    </xf>
    <xf numFmtId="0" fontId="0" fillId="31" borderId="7" xfId="0" applyFill="1" applyBorder="1" applyAlignment="1" applyProtection="1">
      <alignment wrapText="1"/>
      <protection locked="0"/>
    </xf>
    <xf numFmtId="0" fontId="3" fillId="31" borderId="32" xfId="0" applyFont="1" applyFill="1" applyBorder="1" applyAlignment="1" applyProtection="1">
      <alignment wrapText="1"/>
      <protection locked="0"/>
    </xf>
    <xf numFmtId="0" fontId="0" fillId="31" borderId="26" xfId="0" applyFill="1" applyBorder="1" applyAlignment="1" applyProtection="1">
      <alignment wrapText="1"/>
      <protection locked="0"/>
    </xf>
    <xf numFmtId="0" fontId="0" fillId="31" borderId="70" xfId="0" applyFill="1" applyBorder="1" applyAlignment="1" applyProtection="1">
      <alignment wrapText="1"/>
      <protection locked="0"/>
    </xf>
    <xf numFmtId="0" fontId="11" fillId="31" borderId="26" xfId="0" applyFont="1" applyFill="1" applyBorder="1" applyAlignment="1" applyProtection="1">
      <alignment horizontal="left" vertical="center" wrapText="1"/>
      <protection locked="0"/>
    </xf>
    <xf numFmtId="0" fontId="36" fillId="31" borderId="26" xfId="0" applyFont="1" applyFill="1" applyBorder="1" applyAlignment="1" applyProtection="1">
      <alignment horizontal="left" vertical="center" wrapText="1"/>
      <protection locked="0"/>
    </xf>
    <xf numFmtId="0" fontId="10" fillId="31" borderId="26" xfId="0" applyFont="1" applyFill="1" applyBorder="1" applyProtection="1">
      <protection locked="0"/>
    </xf>
    <xf numFmtId="0" fontId="10" fillId="31" borderId="26" xfId="0" applyFont="1" applyFill="1" applyBorder="1" applyAlignment="1" applyProtection="1">
      <alignment horizontal="left" vertical="center" wrapText="1"/>
      <protection locked="0"/>
    </xf>
    <xf numFmtId="0" fontId="36" fillId="31" borderId="26" xfId="0" applyFont="1" applyFill="1" applyBorder="1" applyAlignment="1" applyProtection="1">
      <alignment horizontal="right" wrapText="1"/>
      <protection locked="0"/>
    </xf>
    <xf numFmtId="0" fontId="11" fillId="31" borderId="26" xfId="0" applyFont="1" applyFill="1" applyBorder="1" applyAlignment="1" applyProtection="1">
      <alignment horizontal="left" wrapText="1"/>
      <protection locked="0"/>
    </xf>
    <xf numFmtId="0" fontId="0" fillId="31" borderId="1" xfId="0" applyFill="1" applyBorder="1" applyAlignment="1" applyProtection="1">
      <alignment wrapText="1"/>
      <protection locked="0"/>
    </xf>
    <xf numFmtId="167" fontId="0" fillId="31" borderId="1" xfId="0" applyNumberFormat="1" applyFill="1" applyBorder="1" applyProtection="1">
      <protection locked="0"/>
    </xf>
    <xf numFmtId="0" fontId="0" fillId="31" borderId="35" xfId="0" applyFill="1" applyBorder="1" applyProtection="1">
      <protection locked="0"/>
    </xf>
    <xf numFmtId="9" fontId="0" fillId="31" borderId="8" xfId="0" applyNumberFormat="1" applyFill="1" applyBorder="1" applyProtection="1">
      <protection locked="0"/>
    </xf>
    <xf numFmtId="164" fontId="0" fillId="9" borderId="91" xfId="0" applyNumberFormat="1" applyFill="1" applyBorder="1"/>
    <xf numFmtId="1" fontId="0" fillId="6" borderId="26" xfId="0" applyNumberFormat="1" applyFill="1" applyBorder="1" applyProtection="1">
      <protection locked="0"/>
    </xf>
    <xf numFmtId="1" fontId="0" fillId="6" borderId="19" xfId="0" applyNumberFormat="1" applyFill="1" applyBorder="1" applyProtection="1">
      <protection locked="0"/>
    </xf>
    <xf numFmtId="168" fontId="0" fillId="8" borderId="26" xfId="0" applyNumberFormat="1" applyFill="1" applyBorder="1"/>
    <xf numFmtId="0" fontId="8" fillId="28" borderId="1" xfId="0" applyFont="1" applyFill="1" applyBorder="1" applyAlignment="1">
      <alignment horizontal="right" wrapText="1"/>
    </xf>
    <xf numFmtId="0" fontId="0" fillId="27" borderId="0" xfId="0" applyFill="1" applyAlignment="1">
      <alignment horizontal="left" vertical="top" wrapText="1"/>
    </xf>
    <xf numFmtId="0" fontId="0" fillId="27" borderId="0" xfId="0" applyFill="1" applyAlignment="1">
      <alignment vertical="top" wrapText="1"/>
    </xf>
    <xf numFmtId="0" fontId="8" fillId="2" borderId="41" xfId="0" applyFont="1" applyFill="1" applyBorder="1" applyAlignment="1">
      <alignment wrapText="1"/>
    </xf>
    <xf numFmtId="0" fontId="8" fillId="2" borderId="125" xfId="0" applyFont="1" applyFill="1" applyBorder="1" applyAlignment="1">
      <alignment wrapText="1"/>
    </xf>
    <xf numFmtId="1" fontId="0" fillId="0" borderId="65" xfId="0" applyNumberFormat="1" applyBorder="1"/>
    <xf numFmtId="167" fontId="0" fillId="8" borderId="45" xfId="1" applyNumberFormat="1" applyFont="1" applyFill="1" applyBorder="1"/>
    <xf numFmtId="0" fontId="8" fillId="2" borderId="18" xfId="0" applyFont="1" applyFill="1" applyBorder="1" applyAlignment="1">
      <alignment wrapText="1"/>
    </xf>
    <xf numFmtId="0" fontId="8" fillId="2" borderId="126" xfId="0" applyFont="1" applyFill="1" applyBorder="1" applyAlignment="1">
      <alignment wrapText="1"/>
    </xf>
    <xf numFmtId="167" fontId="1" fillId="8" borderId="130" xfId="1" applyNumberFormat="1" applyFont="1" applyFill="1" applyBorder="1" applyProtection="1"/>
    <xf numFmtId="0" fontId="2" fillId="2" borderId="132" xfId="0" applyFont="1" applyFill="1" applyBorder="1" applyAlignment="1">
      <alignment wrapText="1"/>
    </xf>
    <xf numFmtId="0" fontId="2" fillId="2" borderId="132" xfId="0" applyFont="1" applyFill="1" applyBorder="1" applyAlignment="1">
      <alignment horizontal="left" vertical="center" wrapText="1"/>
    </xf>
    <xf numFmtId="0" fontId="8" fillId="2" borderId="134" xfId="0" applyFont="1" applyFill="1" applyBorder="1" applyAlignment="1">
      <alignment wrapText="1"/>
    </xf>
    <xf numFmtId="168" fontId="0" fillId="8" borderId="45" xfId="1" applyNumberFormat="1" applyFont="1" applyFill="1" applyBorder="1" applyProtection="1"/>
    <xf numFmtId="0" fontId="23" fillId="0" borderId="132" xfId="0" applyFont="1" applyBorder="1" applyAlignment="1">
      <alignment horizontal="center" wrapText="1"/>
    </xf>
    <xf numFmtId="0" fontId="23" fillId="0" borderId="133" xfId="0" applyFont="1" applyBorder="1" applyAlignment="1">
      <alignment horizontal="center" wrapText="1"/>
    </xf>
    <xf numFmtId="0" fontId="23" fillId="0" borderId="59" xfId="0" applyFont="1" applyBorder="1" applyAlignment="1">
      <alignment horizontal="center" wrapText="1"/>
    </xf>
    <xf numFmtId="0" fontId="8" fillId="2" borderId="1" xfId="0" applyFont="1" applyFill="1" applyBorder="1" applyAlignment="1">
      <alignment wrapText="1"/>
    </xf>
    <xf numFmtId="0" fontId="8" fillId="2" borderId="0" xfId="3" applyFont="1" applyFill="1" applyAlignment="1" applyProtection="1">
      <alignment wrapText="1"/>
    </xf>
    <xf numFmtId="0" fontId="11" fillId="13" borderId="65" xfId="0" applyFont="1" applyFill="1" applyBorder="1" applyAlignment="1">
      <alignment horizontal="right" wrapText="1"/>
    </xf>
    <xf numFmtId="0" fontId="2" fillId="2" borderId="62" xfId="0" applyFont="1" applyFill="1" applyBorder="1" applyAlignment="1">
      <alignment horizontal="right" wrapText="1"/>
    </xf>
    <xf numFmtId="0" fontId="2" fillId="2" borderId="3" xfId="0" applyFont="1" applyFill="1" applyBorder="1" applyAlignment="1">
      <alignment wrapText="1"/>
    </xf>
    <xf numFmtId="0" fontId="2" fillId="2" borderId="34" xfId="0" applyFont="1" applyFill="1" applyBorder="1" applyAlignment="1">
      <alignment horizontal="left" wrapText="1"/>
    </xf>
    <xf numFmtId="164" fontId="2" fillId="2" borderId="30" xfId="0" applyNumberFormat="1" applyFont="1" applyFill="1" applyBorder="1" applyAlignment="1">
      <alignment horizontal="right" wrapText="1"/>
    </xf>
    <xf numFmtId="0" fontId="2" fillId="2" borderId="60" xfId="0" applyFont="1" applyFill="1" applyBorder="1" applyAlignment="1">
      <alignment horizontal="left" wrapText="1"/>
    </xf>
    <xf numFmtId="0" fontId="0" fillId="30" borderId="32" xfId="0" applyFill="1" applyBorder="1" applyProtection="1">
      <protection locked="0"/>
    </xf>
    <xf numFmtId="170" fontId="0" fillId="6" borderId="26" xfId="0" applyNumberFormat="1" applyFill="1" applyBorder="1" applyProtection="1">
      <protection locked="0"/>
    </xf>
    <xf numFmtId="0" fontId="0" fillId="6" borderId="32" xfId="0" applyFill="1" applyBorder="1" applyProtection="1">
      <protection locked="0"/>
    </xf>
    <xf numFmtId="0" fontId="0" fillId="6" borderId="81" xfId="0" applyFill="1" applyBorder="1" applyProtection="1">
      <protection locked="0"/>
    </xf>
    <xf numFmtId="170" fontId="0" fillId="6" borderId="19" xfId="0" applyNumberFormat="1" applyFill="1" applyBorder="1" applyProtection="1">
      <protection locked="0"/>
    </xf>
    <xf numFmtId="1" fontId="0" fillId="6" borderId="26" xfId="0" applyNumberFormat="1" applyFill="1" applyBorder="1" applyAlignment="1" applyProtection="1">
      <alignment wrapText="1"/>
      <protection locked="0"/>
    </xf>
    <xf numFmtId="174" fontId="0" fillId="6" borderId="116" xfId="0" applyNumberFormat="1" applyFill="1" applyBorder="1" applyAlignment="1" applyProtection="1">
      <alignment horizontal="right"/>
      <protection locked="0"/>
    </xf>
    <xf numFmtId="174" fontId="0" fillId="6" borderId="93" xfId="0" applyNumberFormat="1" applyFill="1" applyBorder="1" applyAlignment="1" applyProtection="1">
      <alignment wrapText="1"/>
      <protection locked="0"/>
    </xf>
    <xf numFmtId="174" fontId="0" fillId="6" borderId="115" xfId="0" applyNumberFormat="1" applyFill="1" applyBorder="1" applyAlignment="1" applyProtection="1">
      <alignment wrapText="1"/>
      <protection locked="0"/>
    </xf>
    <xf numFmtId="174" fontId="0" fillId="6" borderId="27" xfId="0" applyNumberFormat="1" applyFill="1" applyBorder="1" applyAlignment="1" applyProtection="1">
      <alignment wrapText="1"/>
      <protection locked="0"/>
    </xf>
    <xf numFmtId="174" fontId="0" fillId="6" borderId="26" xfId="0" applyNumberFormat="1" applyFill="1" applyBorder="1" applyAlignment="1" applyProtection="1">
      <alignment wrapText="1"/>
      <protection locked="0"/>
    </xf>
    <xf numFmtId="174" fontId="0" fillId="6" borderId="19" xfId="0" applyNumberFormat="1" applyFill="1" applyBorder="1" applyAlignment="1" applyProtection="1">
      <alignment wrapText="1"/>
      <protection locked="0"/>
    </xf>
    <xf numFmtId="174" fontId="0" fillId="6" borderId="1" xfId="0" applyNumberFormat="1" applyFill="1" applyBorder="1" applyProtection="1">
      <protection locked="0"/>
    </xf>
    <xf numFmtId="174" fontId="0" fillId="6" borderId="7" xfId="0" applyNumberFormat="1" applyFill="1" applyBorder="1" applyAlignment="1" applyProtection="1">
      <alignment horizontal="right"/>
      <protection locked="0"/>
    </xf>
    <xf numFmtId="174" fontId="0" fillId="6" borderId="26" xfId="0" applyNumberFormat="1" applyFill="1" applyBorder="1" applyProtection="1">
      <protection locked="0"/>
    </xf>
    <xf numFmtId="174" fontId="0" fillId="6" borderId="32" xfId="0" applyNumberFormat="1" applyFill="1" applyBorder="1" applyProtection="1">
      <protection locked="0"/>
    </xf>
    <xf numFmtId="174" fontId="0" fillId="6" borderId="35" xfId="0" applyNumberFormat="1" applyFill="1" applyBorder="1" applyProtection="1">
      <protection locked="0"/>
    </xf>
    <xf numFmtId="174" fontId="0" fillId="6" borderId="9" xfId="0" applyNumberFormat="1" applyFill="1" applyBorder="1" applyProtection="1">
      <protection locked="0"/>
    </xf>
    <xf numFmtId="174" fontId="0" fillId="6" borderId="19" xfId="0" applyNumberFormat="1" applyFill="1" applyBorder="1" applyProtection="1">
      <protection locked="0"/>
    </xf>
    <xf numFmtId="0" fontId="0" fillId="27" borderId="0" xfId="0" applyFill="1" applyAlignment="1">
      <alignment horizontal="left"/>
    </xf>
    <xf numFmtId="0" fontId="0" fillId="27" borderId="0" xfId="0" applyFill="1" applyAlignment="1">
      <alignment wrapText="1"/>
    </xf>
    <xf numFmtId="0" fontId="9" fillId="0" borderId="0" xfId="0" applyFont="1" applyAlignment="1">
      <alignment wrapText="1"/>
    </xf>
    <xf numFmtId="0" fontId="80" fillId="0" borderId="0" xfId="0" applyFont="1"/>
    <xf numFmtId="0" fontId="21" fillId="0" borderId="0" xfId="0" applyFont="1" applyAlignment="1">
      <alignment wrapText="1"/>
    </xf>
    <xf numFmtId="168" fontId="10" fillId="8" borderId="1" xfId="0" applyNumberFormat="1" applyFont="1" applyFill="1" applyBorder="1"/>
    <xf numFmtId="0" fontId="0" fillId="27"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27" borderId="0" xfId="0" applyFont="1" applyFill="1" applyAlignment="1">
      <alignment horizontal="left" vertical="top" wrapText="1"/>
    </xf>
    <xf numFmtId="0" fontId="3" fillId="27" borderId="0" xfId="0" applyFont="1" applyFill="1" applyAlignment="1">
      <alignment horizontal="left"/>
    </xf>
    <xf numFmtId="0" fontId="2" fillId="2" borderId="4" xfId="0" applyFont="1" applyFill="1" applyBorder="1" applyAlignment="1">
      <alignment horizontal="left"/>
    </xf>
    <xf numFmtId="0" fontId="2" fillId="2" borderId="6" xfId="0" applyFont="1" applyFill="1" applyBorder="1" applyAlignment="1">
      <alignment horizontal="left"/>
    </xf>
    <xf numFmtId="0" fontId="2" fillId="2" borderId="5" xfId="0" applyFont="1" applyFill="1" applyBorder="1" applyAlignment="1">
      <alignment horizontal="left"/>
    </xf>
    <xf numFmtId="0" fontId="51" fillId="27" borderId="0" xfId="7" applyFill="1" applyAlignment="1">
      <alignment horizontal="left" vertical="top" wrapText="1"/>
    </xf>
    <xf numFmtId="0" fontId="15" fillId="27" borderId="0" xfId="0" applyFont="1" applyFill="1" applyAlignment="1">
      <alignment horizontal="left" vertical="top" wrapText="1"/>
    </xf>
    <xf numFmtId="0" fontId="0" fillId="27" borderId="0" xfId="0" applyFill="1" applyAlignment="1">
      <alignment horizontal="left" vertical="top"/>
    </xf>
    <xf numFmtId="0" fontId="8" fillId="2" borderId="1" xfId="0" applyFont="1" applyFill="1" applyBorder="1" applyAlignment="1">
      <alignment horizontal="left" wrapText="1"/>
    </xf>
    <xf numFmtId="0" fontId="0" fillId="0" borderId="1" xfId="0" applyBorder="1" applyAlignment="1">
      <alignment horizontal="left" wrapText="1"/>
    </xf>
    <xf numFmtId="0" fontId="0" fillId="31" borderId="1" xfId="0" applyFill="1" applyBorder="1" applyAlignment="1">
      <alignment horizontal="left" wrapText="1"/>
    </xf>
    <xf numFmtId="0" fontId="0" fillId="30" borderId="1" xfId="0" applyFill="1" applyBorder="1" applyAlignment="1">
      <alignment horizontal="left" wrapText="1"/>
    </xf>
    <xf numFmtId="0" fontId="8" fillId="28" borderId="1" xfId="0" applyFont="1" applyFill="1" applyBorder="1" applyAlignment="1">
      <alignment horizontal="left" wrapText="1"/>
    </xf>
    <xf numFmtId="0" fontId="0" fillId="8" borderId="1" xfId="0" applyFill="1" applyBorder="1" applyAlignment="1">
      <alignment horizontal="left" wrapText="1"/>
    </xf>
    <xf numFmtId="0" fontId="0" fillId="29" borderId="1" xfId="0" applyFill="1" applyBorder="1" applyAlignment="1">
      <alignment horizontal="left" wrapText="1"/>
    </xf>
    <xf numFmtId="0" fontId="0" fillId="6" borderId="1" xfId="0" applyFill="1" applyBorder="1" applyAlignment="1">
      <alignment horizontal="left" wrapText="1"/>
    </xf>
    <xf numFmtId="0" fontId="25" fillId="0" borderId="14" xfId="0" applyFont="1" applyBorder="1" applyAlignment="1">
      <alignment horizontal="center" vertical="center" wrapText="1"/>
    </xf>
    <xf numFmtId="0" fontId="25" fillId="0" borderId="57" xfId="0" applyFont="1" applyBorder="1" applyAlignment="1">
      <alignment horizontal="center" vertical="center" wrapText="1"/>
    </xf>
    <xf numFmtId="0" fontId="2" fillId="2" borderId="4" xfId="0" applyFont="1" applyFill="1" applyBorder="1" applyAlignment="1">
      <alignment horizontal="center" wrapText="1"/>
    </xf>
    <xf numFmtId="0" fontId="2" fillId="2" borderId="6" xfId="0" applyFont="1" applyFill="1" applyBorder="1" applyAlignment="1">
      <alignment horizontal="center" wrapText="1"/>
    </xf>
    <xf numFmtId="0" fontId="2" fillId="2" borderId="14" xfId="0" applyFont="1" applyFill="1" applyBorder="1" applyAlignment="1">
      <alignment horizontal="center" wrapText="1"/>
    </xf>
    <xf numFmtId="0" fontId="2" fillId="2" borderId="0" xfId="0" applyFont="1" applyFill="1" applyAlignment="1">
      <alignment horizontal="center" wrapText="1"/>
    </xf>
    <xf numFmtId="0" fontId="3" fillId="0" borderId="4" xfId="0" applyFont="1" applyBorder="1" applyAlignment="1">
      <alignment horizontal="left" wrapText="1"/>
    </xf>
    <xf numFmtId="0" fontId="3" fillId="0" borderId="5" xfId="0" applyFont="1" applyBorder="1" applyAlignment="1">
      <alignment horizontal="left" wrapText="1"/>
    </xf>
    <xf numFmtId="0" fontId="8" fillId="2" borderId="103" xfId="0" applyFont="1" applyFill="1" applyBorder="1" applyAlignment="1">
      <alignment horizontal="left" wrapText="1"/>
    </xf>
    <xf numFmtId="0" fontId="8" fillId="2" borderId="15" xfId="0" applyFont="1" applyFill="1" applyBorder="1" applyAlignment="1">
      <alignment horizontal="left" wrapText="1"/>
    </xf>
    <xf numFmtId="0" fontId="8" fillId="2" borderId="120" xfId="0" applyFont="1" applyFill="1" applyBorder="1" applyAlignment="1">
      <alignment horizontal="left"/>
    </xf>
    <xf numFmtId="0" fontId="8" fillId="2" borderId="121" xfId="0" applyFont="1" applyFill="1" applyBorder="1" applyAlignment="1">
      <alignment horizontal="left"/>
    </xf>
    <xf numFmtId="0" fontId="2" fillId="2" borderId="42" xfId="0" applyFont="1" applyFill="1" applyBorder="1" applyAlignment="1">
      <alignment horizontal="left" vertical="center" wrapText="1"/>
    </xf>
    <xf numFmtId="0" fontId="2" fillId="2" borderId="48" xfId="0" applyFont="1" applyFill="1" applyBorder="1" applyAlignment="1">
      <alignment horizontal="left" vertical="center" wrapText="1"/>
    </xf>
    <xf numFmtId="0" fontId="2" fillId="2" borderId="80" xfId="0" applyFont="1" applyFill="1" applyBorder="1" applyAlignment="1">
      <alignment horizontal="center" vertical="center" wrapText="1"/>
    </xf>
    <xf numFmtId="0" fontId="0" fillId="2" borderId="4"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xf>
    <xf numFmtId="0" fontId="2" fillId="2" borderId="9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27" xfId="0" applyFont="1" applyFill="1" applyBorder="1" applyAlignment="1">
      <alignment horizontal="left" wrapText="1"/>
    </xf>
    <xf numFmtId="0" fontId="2" fillId="2" borderId="135" xfId="0" applyFont="1" applyFill="1" applyBorder="1" applyAlignment="1">
      <alignment horizontal="left" wrapText="1"/>
    </xf>
    <xf numFmtId="0" fontId="2" fillId="2" borderId="5" xfId="0" applyFont="1" applyFill="1" applyBorder="1" applyAlignment="1">
      <alignment horizontal="center" wrapText="1"/>
    </xf>
    <xf numFmtId="0" fontId="0" fillId="6" borderId="31" xfId="0" applyFill="1" applyBorder="1" applyAlignment="1" applyProtection="1">
      <alignment horizontal="center" wrapText="1"/>
      <protection locked="0"/>
    </xf>
    <xf numFmtId="0" fontId="0" fillId="6" borderId="30" xfId="0" applyFill="1" applyBorder="1" applyAlignment="1" applyProtection="1">
      <alignment horizontal="center" wrapText="1"/>
      <protection locked="0"/>
    </xf>
    <xf numFmtId="0" fontId="0" fillId="6" borderId="14" xfId="0" applyFill="1" applyBorder="1" applyAlignment="1" applyProtection="1">
      <alignment horizontal="center" wrapText="1"/>
      <protection locked="0"/>
    </xf>
    <xf numFmtId="0" fontId="0" fillId="6" borderId="15" xfId="0" applyFill="1" applyBorder="1" applyAlignment="1" applyProtection="1">
      <alignment horizontal="center" wrapText="1"/>
      <protection locked="0"/>
    </xf>
    <xf numFmtId="0" fontId="0" fillId="6" borderId="16" xfId="0" applyFill="1" applyBorder="1" applyAlignment="1" applyProtection="1">
      <alignment horizontal="center" wrapText="1"/>
      <protection locked="0"/>
    </xf>
    <xf numFmtId="0" fontId="0" fillId="6" borderId="17" xfId="0" applyFill="1" applyBorder="1" applyAlignment="1" applyProtection="1">
      <alignment horizontal="center" wrapText="1"/>
      <protection locked="0"/>
    </xf>
    <xf numFmtId="0" fontId="2" fillId="2" borderId="126" xfId="0" applyFont="1" applyFill="1" applyBorder="1" applyAlignment="1">
      <alignment horizontal="left" wrapText="1"/>
    </xf>
    <xf numFmtId="0" fontId="8" fillId="2" borderId="82" xfId="0" applyFont="1" applyFill="1" applyBorder="1" applyAlignment="1">
      <alignment horizontal="left" vertical="center" wrapText="1"/>
    </xf>
    <xf numFmtId="0" fontId="8" fillId="2" borderId="83" xfId="0" applyFont="1" applyFill="1" applyBorder="1" applyAlignment="1">
      <alignment horizontal="left" vertical="center" wrapText="1"/>
    </xf>
    <xf numFmtId="0" fontId="8" fillId="2" borderId="44" xfId="0" applyFont="1" applyFill="1" applyBorder="1" applyAlignment="1">
      <alignment horizontal="left" vertical="center" wrapText="1"/>
    </xf>
    <xf numFmtId="0" fontId="8" fillId="2" borderId="129" xfId="0" applyFont="1" applyFill="1" applyBorder="1" applyAlignment="1">
      <alignment horizontal="left" vertical="center" wrapText="1"/>
    </xf>
    <xf numFmtId="0" fontId="2" fillId="2" borderId="32" xfId="0" applyFont="1" applyFill="1" applyBorder="1" applyAlignment="1">
      <alignment horizontal="center" wrapText="1"/>
    </xf>
    <xf numFmtId="0" fontId="31" fillId="2" borderId="131" xfId="0" applyFont="1" applyFill="1" applyBorder="1" applyAlignment="1">
      <alignment horizontal="center" vertical="center" wrapText="1"/>
    </xf>
    <xf numFmtId="0" fontId="2" fillId="2" borderId="42" xfId="0" applyFont="1" applyFill="1" applyBorder="1" applyAlignment="1">
      <alignment horizontal="center" wrapText="1"/>
    </xf>
    <xf numFmtId="0" fontId="2" fillId="2" borderId="48" xfId="0" applyFont="1" applyFill="1" applyBorder="1" applyAlignment="1">
      <alignment horizontal="center" wrapText="1"/>
    </xf>
    <xf numFmtId="0" fontId="2" fillId="2" borderId="49" xfId="0" applyFont="1" applyFill="1" applyBorder="1" applyAlignment="1">
      <alignment horizontal="center" wrapText="1"/>
    </xf>
    <xf numFmtId="0" fontId="2" fillId="2" borderId="127" xfId="0" applyFont="1" applyFill="1" applyBorder="1" applyAlignment="1">
      <alignment horizontal="left" vertical="center" wrapText="1"/>
    </xf>
    <xf numFmtId="0" fontId="2" fillId="2" borderId="128" xfId="0" applyFont="1" applyFill="1" applyBorder="1" applyAlignment="1">
      <alignment horizontal="left" vertical="center" wrapText="1"/>
    </xf>
    <xf numFmtId="0" fontId="2" fillId="2" borderId="80" xfId="0" applyFont="1" applyFill="1" applyBorder="1" applyAlignment="1">
      <alignment horizontal="left" wrapText="1"/>
    </xf>
    <xf numFmtId="0" fontId="2" fillId="2" borderId="50" xfId="0" applyFont="1" applyFill="1" applyBorder="1" applyAlignment="1">
      <alignment horizontal="center" wrapText="1"/>
    </xf>
    <xf numFmtId="0" fontId="2" fillId="2" borderId="51" xfId="0" applyFont="1" applyFill="1" applyBorder="1" applyAlignment="1">
      <alignment horizontal="center" wrapText="1"/>
    </xf>
    <xf numFmtId="0" fontId="2" fillId="2" borderId="52" xfId="0" applyFont="1" applyFill="1" applyBorder="1" applyAlignment="1">
      <alignment horizontal="center" wrapText="1"/>
    </xf>
    <xf numFmtId="0" fontId="2" fillId="2" borderId="68" xfId="0" applyFont="1" applyFill="1" applyBorder="1" applyAlignment="1">
      <alignment horizontal="center" wrapText="1"/>
    </xf>
    <xf numFmtId="0" fontId="2" fillId="2" borderId="69" xfId="0" applyFont="1" applyFill="1" applyBorder="1" applyAlignment="1">
      <alignment horizontal="center" wrapText="1"/>
    </xf>
    <xf numFmtId="0" fontId="2" fillId="2" borderId="97" xfId="0" applyFont="1" applyFill="1" applyBorder="1" applyAlignment="1">
      <alignment horizontal="left" wrapText="1"/>
    </xf>
    <xf numFmtId="0" fontId="2" fillId="2" borderId="0" xfId="0" applyFont="1" applyFill="1" applyAlignment="1">
      <alignment horizontal="left" wrapText="1"/>
    </xf>
    <xf numFmtId="0" fontId="34" fillId="6" borderId="81" xfId="0" applyFont="1" applyFill="1" applyBorder="1" applyAlignment="1" applyProtection="1">
      <alignment horizontal="left" wrapText="1"/>
      <protection locked="0"/>
    </xf>
    <xf numFmtId="0" fontId="34" fillId="6" borderId="7" xfId="0" applyFont="1" applyFill="1" applyBorder="1" applyAlignment="1" applyProtection="1">
      <alignment horizontal="left" wrapText="1"/>
      <protection locked="0"/>
    </xf>
    <xf numFmtId="0" fontId="33" fillId="2" borderId="0" xfId="0" applyFont="1" applyFill="1" applyAlignment="1">
      <alignment horizontal="center" vertical="center" wrapText="1"/>
    </xf>
    <xf numFmtId="0" fontId="35" fillId="7" borderId="0" xfId="3" applyFont="1" applyFill="1" applyAlignment="1" applyProtection="1">
      <alignment horizontal="left" vertical="center" wrapText="1"/>
    </xf>
    <xf numFmtId="0" fontId="28" fillId="2" borderId="32" xfId="0" applyFont="1" applyFill="1" applyBorder="1" applyAlignment="1">
      <alignment horizontal="center" vertical="center" wrapText="1"/>
    </xf>
    <xf numFmtId="0" fontId="28" fillId="2" borderId="0" xfId="0" applyFont="1" applyFill="1" applyAlignment="1">
      <alignment horizontal="center" vertical="center" wrapText="1"/>
    </xf>
    <xf numFmtId="0" fontId="28" fillId="2" borderId="58" xfId="0" applyFont="1" applyFill="1" applyBorder="1" applyAlignment="1">
      <alignment horizontal="center" vertical="center" wrapText="1"/>
    </xf>
    <xf numFmtId="0" fontId="8" fillId="2" borderId="38" xfId="3" applyFont="1" applyFill="1" applyBorder="1" applyAlignment="1" applyProtection="1">
      <alignment horizontal="left" wrapText="1"/>
    </xf>
    <xf numFmtId="0" fontId="8" fillId="2" borderId="38" xfId="3" applyFont="1" applyFill="1" applyBorder="1" applyAlignment="1" applyProtection="1">
      <alignment horizontal="left" vertical="center" wrapText="1"/>
    </xf>
    <xf numFmtId="0" fontId="2" fillId="2" borderId="81" xfId="0" applyFont="1" applyFill="1" applyBorder="1" applyAlignment="1">
      <alignment horizontal="left" wrapText="1"/>
    </xf>
    <xf numFmtId="0" fontId="34" fillId="31" borderId="81" xfId="0" applyFont="1" applyFill="1" applyBorder="1" applyAlignment="1" applyProtection="1">
      <alignment horizontal="left" wrapText="1"/>
      <protection locked="0"/>
    </xf>
    <xf numFmtId="0" fontId="34" fillId="31" borderId="7" xfId="0" applyFont="1" applyFill="1" applyBorder="1" applyAlignment="1" applyProtection="1">
      <alignment horizontal="left" wrapText="1"/>
      <protection locked="0"/>
    </xf>
    <xf numFmtId="0" fontId="2" fillId="2" borderId="136" xfId="0" applyFont="1" applyFill="1" applyBorder="1" applyAlignment="1">
      <alignment horizontal="left" vertical="center" wrapText="1"/>
    </xf>
    <xf numFmtId="0" fontId="8" fillId="2" borderId="51" xfId="0" applyFont="1" applyFill="1" applyBorder="1" applyAlignment="1">
      <alignment horizontal="left" vertical="center" wrapText="1"/>
    </xf>
    <xf numFmtId="0" fontId="8" fillId="2" borderId="52" xfId="0" applyFont="1" applyFill="1" applyBorder="1" applyAlignment="1">
      <alignment horizontal="left" vertical="center" wrapText="1"/>
    </xf>
    <xf numFmtId="0" fontId="2" fillId="2" borderId="80" xfId="0" applyFont="1" applyFill="1" applyBorder="1" applyAlignment="1">
      <alignment horizontal="center" wrapText="1"/>
    </xf>
    <xf numFmtId="0" fontId="32" fillId="2" borderId="1" xfId="0" applyFont="1" applyFill="1" applyBorder="1" applyAlignment="1">
      <alignment horizontal="center" wrapText="1"/>
    </xf>
    <xf numFmtId="0" fontId="2" fillId="2" borderId="31" xfId="0" applyFont="1" applyFill="1" applyBorder="1" applyAlignment="1">
      <alignment horizontal="center" wrapText="1"/>
    </xf>
    <xf numFmtId="0" fontId="2" fillId="2" borderId="33" xfId="0" applyFont="1" applyFill="1" applyBorder="1" applyAlignment="1">
      <alignment horizontal="center" wrapText="1"/>
    </xf>
    <xf numFmtId="0" fontId="2" fillId="2" borderId="30" xfId="0" applyFont="1" applyFill="1" applyBorder="1" applyAlignment="1">
      <alignment horizontal="center" wrapText="1"/>
    </xf>
    <xf numFmtId="167" fontId="0" fillId="8" borderId="1" xfId="0" applyNumberFormat="1" applyFill="1" applyBorder="1" applyAlignment="1">
      <alignment horizontal="right"/>
    </xf>
    <xf numFmtId="167" fontId="0" fillId="8" borderId="23" xfId="0" applyNumberFormat="1" applyFill="1" applyBorder="1" applyAlignment="1">
      <alignment horizontal="right"/>
    </xf>
    <xf numFmtId="167" fontId="0" fillId="8" borderId="19" xfId="0" applyNumberFormat="1" applyFill="1" applyBorder="1" applyAlignment="1">
      <alignment horizontal="right"/>
    </xf>
    <xf numFmtId="167" fontId="0" fillId="8" borderId="116" xfId="0" applyNumberFormat="1" applyFill="1" applyBorder="1" applyAlignment="1">
      <alignment horizontal="right"/>
    </xf>
    <xf numFmtId="167" fontId="0" fillId="13" borderId="10" xfId="0" applyNumberFormat="1" applyFill="1" applyBorder="1" applyAlignment="1">
      <alignment horizontal="right"/>
    </xf>
    <xf numFmtId="167" fontId="0" fillId="13" borderId="24" xfId="0" applyNumberFormat="1" applyFill="1" applyBorder="1" applyAlignment="1">
      <alignment horizontal="right"/>
    </xf>
    <xf numFmtId="3" fontId="0" fillId="8" borderId="1" xfId="0" applyNumberFormat="1" applyFill="1" applyBorder="1" applyAlignment="1">
      <alignment horizontal="right"/>
    </xf>
    <xf numFmtId="3" fontId="0" fillId="8" borderId="23" xfId="0" applyNumberFormat="1" applyFill="1" applyBorder="1" applyAlignment="1">
      <alignment horizontal="right"/>
    </xf>
    <xf numFmtId="3" fontId="0" fillId="8" borderId="19" xfId="0" applyNumberFormat="1" applyFill="1" applyBorder="1" applyAlignment="1">
      <alignment horizontal="right"/>
    </xf>
    <xf numFmtId="3" fontId="0" fillId="8" borderId="116" xfId="0" applyNumberFormat="1" applyFill="1" applyBorder="1" applyAlignment="1">
      <alignment horizontal="right"/>
    </xf>
    <xf numFmtId="3" fontId="0" fillId="13" borderId="10" xfId="0" applyNumberFormat="1" applyFill="1" applyBorder="1" applyAlignment="1">
      <alignment horizontal="right"/>
    </xf>
    <xf numFmtId="3" fontId="0" fillId="13" borderId="24" xfId="0" applyNumberFormat="1" applyFill="1" applyBorder="1" applyAlignment="1">
      <alignment horizontal="right"/>
    </xf>
    <xf numFmtId="0" fontId="0" fillId="0" borderId="9" xfId="0" applyBorder="1" applyAlignment="1">
      <alignment horizontal="center"/>
    </xf>
    <xf numFmtId="0" fontId="0" fillId="0" borderId="18"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15" fillId="0" borderId="1" xfId="0" applyFont="1" applyBorder="1" applyAlignment="1">
      <alignment horizontal="center" vertical="top" wrapText="1"/>
    </xf>
    <xf numFmtId="0" fontId="0" fillId="0" borderId="1" xfId="0" applyBorder="1" applyAlignment="1">
      <alignment horizontal="left" vertical="center" wrapText="1"/>
    </xf>
    <xf numFmtId="0" fontId="0" fillId="0" borderId="1" xfId="0" applyBorder="1" applyAlignment="1">
      <alignment horizont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11" fillId="24" borderId="1" xfId="0" applyFont="1" applyFill="1" applyBorder="1" applyAlignment="1">
      <alignment horizontal="center" wrapText="1"/>
    </xf>
    <xf numFmtId="0" fontId="0" fillId="24" borderId="1" xfId="0" applyFill="1" applyBorder="1" applyAlignment="1">
      <alignment horizontal="center" vertical="center" wrapText="1"/>
    </xf>
    <xf numFmtId="0" fontId="15" fillId="0" borderId="1" xfId="0" applyFont="1" applyBorder="1" applyAlignment="1">
      <alignment horizontal="center" wrapText="1"/>
    </xf>
    <xf numFmtId="0" fontId="15" fillId="0" borderId="1" xfId="0" applyFont="1" applyBorder="1" applyAlignment="1">
      <alignment vertical="center" wrapText="1"/>
    </xf>
    <xf numFmtId="0" fontId="0" fillId="24" borderId="1" xfId="0" applyFill="1" applyBorder="1" applyAlignment="1">
      <alignment horizontal="center" wrapText="1"/>
    </xf>
    <xf numFmtId="0" fontId="0" fillId="0" borderId="1" xfId="0" applyBorder="1" applyAlignment="1">
      <alignment horizontal="center"/>
    </xf>
    <xf numFmtId="0" fontId="15" fillId="0" borderId="1" xfId="0" applyFont="1" applyBorder="1" applyAlignment="1">
      <alignment horizontal="center" vertical="center" wrapText="1"/>
    </xf>
    <xf numFmtId="0" fontId="0" fillId="0" borderId="1" xfId="0" applyBorder="1"/>
    <xf numFmtId="0" fontId="11" fillId="0" borderId="1" xfId="0" applyFont="1" applyBorder="1" applyAlignment="1">
      <alignment horizontal="center" vertical="center" wrapText="1"/>
    </xf>
    <xf numFmtId="0" fontId="12" fillId="0" borderId="1" xfId="0" applyFont="1" applyBorder="1" applyAlignment="1">
      <alignment horizontal="center" wrapText="1"/>
    </xf>
    <xf numFmtId="0" fontId="15"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11" fillId="0" borderId="1" xfId="0" applyFont="1" applyBorder="1" applyAlignment="1">
      <alignment horizontal="lef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21"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top" wrapText="1"/>
    </xf>
    <xf numFmtId="0" fontId="0" fillId="0" borderId="9" xfId="0"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1" xfId="0" applyBorder="1" applyAlignment="1">
      <alignment horizontal="center" vertical="center"/>
    </xf>
    <xf numFmtId="0" fontId="0" fillId="9" borderId="1" xfId="0" applyFill="1" applyBorder="1" applyAlignment="1">
      <alignment horizontal="center" vertical="top" wrapText="1"/>
    </xf>
    <xf numFmtId="0" fontId="12" fillId="0" borderId="1" xfId="0" applyFont="1" applyBorder="1" applyAlignment="1">
      <alignment horizontal="left" vertical="center" wrapText="1"/>
    </xf>
    <xf numFmtId="0" fontId="12" fillId="0" borderId="1" xfId="0" applyFont="1" applyBorder="1" applyAlignment="1">
      <alignment horizontal="left" wrapText="1"/>
    </xf>
    <xf numFmtId="0" fontId="11" fillId="7" borderId="38" xfId="0" applyFont="1" applyFill="1" applyBorder="1" applyAlignment="1">
      <alignment horizontal="center"/>
    </xf>
    <xf numFmtId="0" fontId="11" fillId="7" borderId="0" xfId="0" applyFont="1" applyFill="1" applyAlignment="1">
      <alignment horizontal="center"/>
    </xf>
    <xf numFmtId="0" fontId="11" fillId="7" borderId="39" xfId="0" applyFont="1" applyFill="1" applyBorder="1" applyAlignment="1">
      <alignment horizontal="center"/>
    </xf>
    <xf numFmtId="11" fontId="0" fillId="6" borderId="8" xfId="0" applyNumberFormat="1" applyFill="1" applyBorder="1" applyAlignment="1" applyProtection="1">
      <alignment horizontal="right"/>
      <protection locked="0"/>
    </xf>
  </cellXfs>
  <cellStyles count="8">
    <cellStyle name="Bad" xfId="2" builtinId="27"/>
    <cellStyle name="Comma" xfId="6" builtinId="3"/>
    <cellStyle name="Currency" xfId="5" builtinId="4"/>
    <cellStyle name="Good" xfId="1" builtinId="26"/>
    <cellStyle name="Hyperlink" xfId="7" builtinId="8"/>
    <cellStyle name="Neutral" xfId="3" builtinId="28"/>
    <cellStyle name="Normal" xfId="0" builtinId="0"/>
    <cellStyle name="Normal 2" xfId="4" xr:uid="{00129991-C51A-4603-A6EE-AD5F39C32D33}"/>
  </cellStyles>
  <dxfs count="62">
    <dxf>
      <fill>
        <patternFill>
          <bgColor rgb="FFC00000"/>
        </patternFill>
      </fill>
    </dxf>
    <dxf>
      <font>
        <b val="0"/>
        <i/>
        <color theme="0" tint="-0.34998626667073579"/>
      </font>
      <border>
        <left style="thin">
          <color rgb="FF9C0006"/>
        </left>
        <right style="thin">
          <color rgb="FF9C0006"/>
        </right>
        <top style="thin">
          <color rgb="FF9C0006"/>
        </top>
        <bottom style="thin">
          <color rgb="FF9C0006"/>
        </bottom>
      </border>
    </dxf>
    <dxf>
      <fill>
        <patternFill>
          <bgColor rgb="FFC000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C000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dxf>
    <dxf>
      <font>
        <b val="0"/>
        <i/>
        <strike val="0"/>
        <condense val="0"/>
        <extend val="0"/>
        <outline val="0"/>
        <shadow val="0"/>
        <u val="none"/>
        <vertAlign val="baseline"/>
        <sz val="9"/>
        <color theme="2" tint="-0.749992370372631"/>
        <name val="Calibri"/>
        <family val="2"/>
        <scheme val="minor"/>
      </font>
      <numFmt numFmtId="1" formatCode="0"/>
      <alignment horizontal="center" vertical="bottom" textRotation="0" wrapText="0" indent="0" justifyLastLine="0" shrinkToFit="0" readingOrder="0"/>
    </dxf>
    <dxf>
      <fill>
        <patternFill patternType="solid">
          <fgColor indexed="64"/>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8" formatCode="[$USD]\ #,##0.00"/>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border>
    </dxf>
    <dxf>
      <numFmt numFmtId="167" formatCode="[$USD]\ #,##0"/>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numFmt numFmtId="174" formatCode="0.0%"/>
      <fill>
        <patternFill patternType="solid">
          <fgColor indexed="64"/>
          <bgColor theme="4" tint="0.79998168889431442"/>
        </patternFill>
      </fill>
      <border diagonalUp="0" diagonalDown="0" outline="0">
        <left/>
        <right style="thin">
          <color indexed="64"/>
        </right>
        <top style="thin">
          <color indexed="64"/>
        </top>
        <bottom/>
      </border>
      <protection locked="0" hidden="0"/>
    </dxf>
    <dxf>
      <fill>
        <patternFill patternType="solid">
          <fgColor indexed="64"/>
          <bgColor theme="5" tint="0.79998168889431442"/>
        </patternFill>
      </fill>
      <border diagonalUp="0" diagonalDown="0" outline="0">
        <left/>
        <right/>
        <top style="thin">
          <color indexed="64"/>
        </top>
        <bottom/>
      </border>
      <protection locked="0" hidden="0"/>
    </dxf>
    <dxf>
      <numFmt numFmtId="167" formatCode="[$USD]\ #,##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5"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theme="4" tint="0.39997558519241921"/>
        </top>
        <bottom/>
        <vertical/>
        <horizontal/>
      </border>
    </dxf>
    <dxf>
      <border outline="0">
        <top style="thick">
          <color auto="1"/>
        </top>
        <bottom style="thin">
          <color theme="4" tint="0.39997558519241921"/>
        </bottom>
      </border>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border outline="0">
        <bottom style="thin">
          <color theme="4" tint="0.39997558519241921"/>
        </bottom>
      </border>
    </dxf>
    <dxf>
      <font>
        <b/>
        <i/>
        <strike val="0"/>
        <condense val="0"/>
        <extend val="0"/>
        <outline val="0"/>
        <shadow val="0"/>
        <u val="none"/>
        <vertAlign val="baseline"/>
        <sz val="10"/>
        <color theme="0"/>
        <name val="Calibri"/>
        <family val="2"/>
        <scheme val="minor"/>
      </font>
      <numFmt numFmtId="1" formatCode="0"/>
      <fill>
        <patternFill patternType="solid">
          <fgColor theme="4"/>
          <bgColor theme="1"/>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USD]\ #,##0.00"/>
      <fill>
        <patternFill patternType="solid">
          <fgColor indexed="64"/>
          <bgColor theme="2" tint="-9.9978637043366805E-2"/>
        </patternFill>
      </fill>
      <border diagonalUp="0" diagonalDown="0">
        <left style="thin">
          <color indexed="64"/>
        </left>
        <right style="thin">
          <color indexed="64"/>
        </right>
        <top style="thin">
          <color indexed="64"/>
        </top>
        <bottom/>
        <vertical/>
        <horizontal/>
      </border>
    </dxf>
    <dxf>
      <numFmt numFmtId="174" formatCode="0.0%"/>
      <protection locked="0" hidden="0"/>
    </dxf>
    <dxf>
      <font>
        <b val="0"/>
        <i val="0"/>
        <strike val="0"/>
        <condense val="0"/>
        <extend val="0"/>
        <outline val="0"/>
        <shadow val="0"/>
        <u val="none"/>
        <vertAlign val="baseline"/>
        <sz val="11"/>
        <color theme="1"/>
        <name val="Calibri"/>
        <family val="2"/>
        <scheme val="minor"/>
      </font>
      <numFmt numFmtId="167" formatCode="[$USD]\ #,##0"/>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vertical="bottom" textRotation="0" wrapText="1" indent="0" justifyLastLine="0" shrinkToFit="0" readingOrder="0"/>
      <border diagonalUp="0" diagonalDown="0">
        <left style="thin">
          <color indexed="64"/>
        </left>
        <right/>
        <top style="thin">
          <color rgb="FF000000"/>
        </top>
        <bottom/>
      </border>
      <protection locked="0" hidden="0"/>
    </dxf>
    <dxf>
      <border outline="0">
        <top style="thin">
          <color theme="0"/>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protection locked="1" hidden="0"/>
    </dxf>
    <dxf>
      <font>
        <b val="0"/>
        <i val="0"/>
        <strike val="0"/>
        <condense val="0"/>
        <extend val="0"/>
        <outline val="0"/>
        <shadow val="0"/>
        <u val="none"/>
        <vertAlign val="baseline"/>
        <sz val="11"/>
        <color theme="1"/>
        <name val="Calibri"/>
        <family val="2"/>
        <scheme val="minor"/>
      </font>
      <numFmt numFmtId="167" formatCode="[$USD]\ #,##0"/>
      <fill>
        <patternFill patternType="solid">
          <fgColor indexed="64"/>
          <bgColor theme="4" tint="0.79998168889431442"/>
        </patternFill>
      </fill>
      <border diagonalUp="0" diagonalDown="0">
        <left style="thin">
          <color indexed="64"/>
        </left>
        <right/>
        <top style="thin">
          <color indexed="64"/>
        </top>
        <bottom/>
        <vertical/>
        <horizontal/>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vertical="bottom" textRotation="0" wrapText="1" indent="0" justifyLastLine="0" shrinkToFit="0" readingOrder="0"/>
      <border diagonalUp="0" diagonalDown="0">
        <left/>
        <right/>
        <top style="thin">
          <color indexed="64"/>
        </top>
        <bottom/>
      </border>
      <protection locked="0" hidden="0"/>
    </dxf>
    <dxf>
      <border outline="0">
        <left style="thin">
          <color indexed="64"/>
        </left>
        <right style="thin">
          <color indexed="64"/>
        </right>
        <top style="thin">
          <color theme="0"/>
        </top>
        <bottom style="thin">
          <color indexed="64"/>
        </bottom>
      </border>
    </dxf>
    <dxf>
      <protection locked="0" hidden="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0"/>
        <name val="Calibri"/>
        <family val="2"/>
        <scheme val="minor"/>
      </font>
      <numFmt numFmtId="1" formatCode="0"/>
      <fill>
        <patternFill patternType="solid">
          <fgColor indexed="64"/>
          <bgColor theme="2" tint="-0.499984740745262"/>
        </patternFill>
      </fill>
    </dxf>
    <dxf>
      <font>
        <b val="0"/>
        <i/>
        <strike val="0"/>
        <condense val="0"/>
        <extend val="0"/>
        <outline val="0"/>
        <shadow val="0"/>
        <u val="none"/>
        <vertAlign val="baseline"/>
        <sz val="9"/>
        <color theme="2" tint="-0.749992370372631"/>
        <name val="Calibri"/>
        <family val="2"/>
        <scheme val="minor"/>
      </font>
      <numFmt numFmtId="1" formatCode="0"/>
      <alignment horizontal="center" vertical="bottom" textRotation="0" wrapText="0" indent="0" justifyLastLine="0" shrinkToFit="0" readingOrder="0"/>
    </dxf>
    <dxf>
      <numFmt numFmtId="168" formatCode="[$USD]\ #,##0.00"/>
      <fill>
        <patternFill patternType="solid">
          <fgColor indexed="64"/>
          <bgColor theme="2" tint="-9.9978637043366805E-2"/>
        </patternFill>
      </fill>
      <border diagonalUp="0" diagonalDown="0">
        <left style="thin">
          <color indexed="64"/>
        </left>
        <right/>
        <top style="thin">
          <color indexed="64"/>
        </top>
        <bottom style="thin">
          <color indexed="64"/>
        </bottom>
        <vertical/>
        <horizontal/>
      </border>
    </dxf>
    <dxf>
      <numFmt numFmtId="167" formatCode="[$USD]\ #,##0"/>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numFmt numFmtId="174" formatCode="0.0%"/>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protection locked="0" hidden="0"/>
    </dxf>
    <dxf>
      <numFmt numFmtId="167" formatCode="[$USD]\ #,##0"/>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5" tint="0.79998168889431442"/>
        </patternFill>
      </fill>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theme="0"/>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4F42C"/>
      <color rgb="FFC0000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Language!$B$374</c:f>
          <c:strCache>
            <c:ptCount val="1"/>
            <c:pt idx="0">
              <c:v>Cost of sequencing for the selected pathogen(-s) and annual throughput per sample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USD'!$C$9</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FF-4968-A1A5-ACEC58F085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FF-4968-A1A5-ACEC58F085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FF-4968-A1A5-ACEC58F085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FF-4968-A1A5-ACEC58F085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FF-4968-A1A5-ACEC58F085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FF-4968-A1A5-ACEC58F085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USD'!$C$12:$C$17</c:f>
              <c:numCache>
                <c:formatCode>[$USD]\ #,##0.00</c:formatCode>
                <c:ptCount val="6"/>
                <c:pt idx="0">
                  <c:v>191.31737000000001</c:v>
                </c:pt>
                <c:pt idx="1">
                  <c:v>103.62339218749997</c:v>
                </c:pt>
                <c:pt idx="2">
                  <c:v>4.1748124999999998</c:v>
                </c:pt>
                <c:pt idx="3">
                  <c:v>31</c:v>
                </c:pt>
                <c:pt idx="4">
                  <c:v>8.7375000000000007</c:v>
                </c:pt>
                <c:pt idx="5">
                  <c:v>0.23749999999999999</c:v>
                </c:pt>
              </c:numCache>
            </c:numRef>
          </c:val>
          <c:extLst>
            <c:ext xmlns:c16="http://schemas.microsoft.com/office/drawing/2014/chart" uri="{C3380CC4-5D6E-409C-BE32-E72D297353CC}">
              <c16:uniqueId val="{00000000-17ED-4FC9-94C9-F1CD6BD2E0D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Language!$B$375</c:f>
          <c:strCache>
            <c:ptCount val="1"/>
            <c:pt idx="0">
              <c:v>Total annual cost for sequencing of the selected pathogen(-s) and throughput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53-4ACB-AE43-078B699EB3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53-4ACB-AE43-078B699EB3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53-4ACB-AE43-078B699EB3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53-4ACB-AE43-078B699EB3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53-4ACB-AE43-078B699EB3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53-4ACB-AE43-078B699EB3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USD'!$D$12:$D$17</c:f>
              <c:numCache>
                <c:formatCode>[$USD]\ #,##0</c:formatCode>
                <c:ptCount val="6"/>
                <c:pt idx="0">
                  <c:v>153053.89600000001</c:v>
                </c:pt>
                <c:pt idx="1">
                  <c:v>82898.713749999981</c:v>
                </c:pt>
                <c:pt idx="2">
                  <c:v>3339.85</c:v>
                </c:pt>
                <c:pt idx="3">
                  <c:v>24800</c:v>
                </c:pt>
                <c:pt idx="4">
                  <c:v>6990</c:v>
                </c:pt>
                <c:pt idx="5">
                  <c:v>190</c:v>
                </c:pt>
              </c:numCache>
            </c:numRef>
          </c:val>
          <c:extLst>
            <c:ext xmlns:c16="http://schemas.microsoft.com/office/drawing/2014/chart" uri="{C3380CC4-5D6E-409C-BE32-E72D297353CC}">
              <c16:uniqueId val="{00000000-E5F2-4C5B-BB48-2FE18FAF52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Language!$B$376</c:f>
          <c:strCache>
            <c:ptCount val="1"/>
            <c:pt idx="0">
              <c:v>Cost of sequencing for the selected pathogen(-s) and annual throughput per sample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USD'!$C$20</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D-465A-867E-3CD94B08A0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D-465A-867E-3CD94B08A0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4D-465A-867E-3CD94B08A0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4D-465A-867E-3CD94B08A0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4D-465A-867E-3CD94B08A0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4D-465A-867E-3CD94B08A0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USD'!$C$21:$C$26</c:f>
              <c:numCache>
                <c:formatCode>[$USD]\ #,##0.00</c:formatCode>
                <c:ptCount val="6"/>
                <c:pt idx="0">
                  <c:v>26.767560250000002</c:v>
                </c:pt>
                <c:pt idx="1">
                  <c:v>30.876294937500003</c:v>
                </c:pt>
                <c:pt idx="2">
                  <c:v>41.381946031250003</c:v>
                </c:pt>
                <c:pt idx="3">
                  <c:v>77.517732593750011</c:v>
                </c:pt>
                <c:pt idx="4">
                  <c:v>149.18162837499997</c:v>
                </c:pt>
                <c:pt idx="5">
                  <c:v>13.3654125</c:v>
                </c:pt>
              </c:numCache>
            </c:numRef>
          </c:val>
          <c:extLst>
            <c:ext xmlns:c16="http://schemas.microsoft.com/office/drawing/2014/chart" uri="{C3380CC4-5D6E-409C-BE32-E72D297353CC}">
              <c16:uniqueId val="{00000000-8F51-4ADF-9BCF-04C20642629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Language!$B$377</c:f>
          <c:strCache>
            <c:ptCount val="1"/>
            <c:pt idx="0">
              <c:v>Total annual cost for sequencing of the selected pathogen(-s) and throughput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USD'!$D$20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A-4944-9E44-A1B1FEAED0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A-4944-9E44-A1B1FEAED0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0A-4944-9E44-A1B1FEAED0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0A-4944-9E44-A1B1FEAED0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0A-4944-9E44-A1B1FEAED0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0A-4944-9E44-A1B1FEAED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USD'!$B$21:$B$26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USD'!$D$21:$D$26</c:f>
              <c:numCache>
                <c:formatCode>[$USD]\ #,##0</c:formatCode>
                <c:ptCount val="6"/>
                <c:pt idx="0">
                  <c:v>21414.048200000001</c:v>
                </c:pt>
                <c:pt idx="1">
                  <c:v>24701.035950000001</c:v>
                </c:pt>
                <c:pt idx="2">
                  <c:v>33105.556825</c:v>
                </c:pt>
                <c:pt idx="3">
                  <c:v>62014.186075000012</c:v>
                </c:pt>
                <c:pt idx="4">
                  <c:v>119345.30269999999</c:v>
                </c:pt>
                <c:pt idx="5">
                  <c:v>10692.33</c:v>
                </c:pt>
              </c:numCache>
            </c:numRef>
          </c:val>
          <c:extLst>
            <c:ext xmlns:c16="http://schemas.microsoft.com/office/drawing/2014/chart" uri="{C3380CC4-5D6E-409C-BE32-E72D297353CC}">
              <c16:uniqueId val="{00000000-0D5C-4D21-904F-9902C7C1C2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Language!$B$374</c:f>
          <c:strCache>
            <c:ptCount val="1"/>
            <c:pt idx="0">
              <c:v>Cost of sequencing for the selected pathogen(-s) and annual throughput per sample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currency'!$C$9</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0-40B0-8321-23B875B24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0-40B0-8321-23B875B24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20-40B0-8321-23B875B24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20-40B0-8321-23B875B24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20-40B0-8321-23B875B246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20-40B0-8321-23B875B24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local currency'!$C$12:$C$17</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1E20-40B0-8321-23B875B246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Language!$B$375</c:f>
          <c:strCache>
            <c:ptCount val="1"/>
            <c:pt idx="0">
              <c:v>Total annual cost for sequencing of the selected pathogen(-s) and throughput by cost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5-4372-95C9-476674028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5-4372-95C9-476674028A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5-4372-95C9-476674028A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D5-4372-95C9-476674028A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D5-4372-95C9-476674028A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D5-4372-95C9-476674028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currency'!$B$12:$B$17</c:f>
              <c:strCache>
                <c:ptCount val="6"/>
                <c:pt idx="0">
                  <c:v>Reagents and consumables (including sample retests)</c:v>
                </c:pt>
                <c:pt idx="1">
                  <c:v>Equipment operational cost</c:v>
                </c:pt>
                <c:pt idx="2">
                  <c:v>Bioinformatics</c:v>
                </c:pt>
                <c:pt idx="3">
                  <c:v>Personnel and training</c:v>
                </c:pt>
                <c:pt idx="4">
                  <c:v>Facility and transport</c:v>
                </c:pt>
                <c:pt idx="5">
                  <c:v>Quality management</c:v>
                </c:pt>
              </c:strCache>
            </c:strRef>
          </c:cat>
          <c:val>
            <c:numRef>
              <c:f>'Results - local currency'!$D$12:$D$17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8ED5-4372-95C9-476674028A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Language!$B$376</c:f>
          <c:strCache>
            <c:ptCount val="1"/>
            <c:pt idx="0">
              <c:v>Cost of sequencing for the selected pathogen(-s) and annual throughput per sample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currency'!$C$20</c:f>
              <c:strCache>
                <c:ptCount val="1"/>
                <c:pt idx="0">
                  <c:v>Cost per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E-4F17-AD93-9A3A81564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E-4F17-AD93-9A3A815646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E-4F17-AD93-9A3A815646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0E-4F17-AD93-9A3A815646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0E-4F17-AD93-9A3A815646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0E-4F17-AD93-9A3A815646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local currency'!$C$21:$C$26</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CE0E-4F17-AD93-9A3A815646F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Language!$B$377</c:f>
          <c:strCache>
            <c:ptCount val="1"/>
            <c:pt idx="0">
              <c:v>Total annual cost for sequencing of the selected pathogen(-s) and throughput by workflow step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Z"/>
        </a:p>
      </c:txPr>
    </c:title>
    <c:autoTitleDeleted val="0"/>
    <c:plotArea>
      <c:layout/>
      <c:pieChart>
        <c:varyColors val="1"/>
        <c:ser>
          <c:idx val="0"/>
          <c:order val="0"/>
          <c:tx>
            <c:strRef>
              <c:f>'Results - local currency'!$D$20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83-460F-A5A2-C2963B0FD1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83-460F-A5A2-C2963B0FD1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83-460F-A5A2-C2963B0FD1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83-460F-A5A2-C2963B0FD1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83-460F-A5A2-C2963B0FD1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83-460F-A5A2-C2963B0FD1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Z"/>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 - local currency'!$B$21:$B$26</c:f>
              <c:strCache>
                <c:ptCount val="6"/>
                <c:pt idx="0">
                  <c:v>Sample receipt</c:v>
                </c:pt>
                <c:pt idx="1">
                  <c:v>Nucleic acid extraction</c:v>
                </c:pt>
                <c:pt idx="2">
                  <c:v>PCR testing</c:v>
                </c:pt>
                <c:pt idx="3">
                  <c:v>NGS library preparation</c:v>
                </c:pt>
                <c:pt idx="4">
                  <c:v>Sequencing</c:v>
                </c:pt>
                <c:pt idx="5">
                  <c:v>Bioinformatics</c:v>
                </c:pt>
              </c:strCache>
            </c:strRef>
          </c:cat>
          <c:val>
            <c:numRef>
              <c:f>'Results - local currency'!$D$21:$D$26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4D83-460F-A5A2-C2963B0FD1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3</xdr:col>
      <xdr:colOff>238125</xdr:colOff>
      <xdr:row>4</xdr:row>
      <xdr:rowOff>149898</xdr:rowOff>
    </xdr:to>
    <xdr:pic>
      <xdr:nvPicPr>
        <xdr:cNvPr id="5" name="Picture 4">
          <a:extLst>
            <a:ext uri="{FF2B5EF4-FFF2-40B4-BE49-F238E27FC236}">
              <a16:creationId xmlns:a16="http://schemas.microsoft.com/office/drawing/2014/main" id="{D2F447D9-7773-BC48-D6CB-0FF7DF521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2000250" cy="864273"/>
        </a:xfrm>
        <a:prstGeom prst="rect">
          <a:avLst/>
        </a:prstGeom>
      </xdr:spPr>
    </xdr:pic>
    <xdr:clientData/>
  </xdr:twoCellAnchor>
  <xdr:twoCellAnchor editAs="oneCell">
    <xdr:from>
      <xdr:col>3</xdr:col>
      <xdr:colOff>300879</xdr:colOff>
      <xdr:row>0</xdr:row>
      <xdr:rowOff>0</xdr:rowOff>
    </xdr:from>
    <xdr:to>
      <xdr:col>6</xdr:col>
      <xdr:colOff>324412</xdr:colOff>
      <xdr:row>6</xdr:row>
      <xdr:rowOff>10631</xdr:rowOff>
    </xdr:to>
    <xdr:pic>
      <xdr:nvPicPr>
        <xdr:cNvPr id="7" name="Picture 6">
          <a:extLst>
            <a:ext uri="{FF2B5EF4-FFF2-40B4-BE49-F238E27FC236}">
              <a16:creationId xmlns:a16="http://schemas.microsoft.com/office/drawing/2014/main" id="{3AE6BBEC-26D8-A9B0-96E3-07F4E90F2D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16232" y="0"/>
          <a:ext cx="2287121" cy="1153631"/>
        </a:xfrm>
        <a:prstGeom prst="rect">
          <a:avLst/>
        </a:prstGeom>
      </xdr:spPr>
    </xdr:pic>
    <xdr:clientData/>
  </xdr:twoCellAnchor>
  <xdr:twoCellAnchor editAs="oneCell">
    <xdr:from>
      <xdr:col>6</xdr:col>
      <xdr:colOff>430309</xdr:colOff>
      <xdr:row>0</xdr:row>
      <xdr:rowOff>44823</xdr:rowOff>
    </xdr:from>
    <xdr:to>
      <xdr:col>8</xdr:col>
      <xdr:colOff>201709</xdr:colOff>
      <xdr:row>5</xdr:row>
      <xdr:rowOff>82922</xdr:rowOff>
    </xdr:to>
    <xdr:pic>
      <xdr:nvPicPr>
        <xdr:cNvPr id="11" name="Picture 10">
          <a:extLst>
            <a:ext uri="{FF2B5EF4-FFF2-40B4-BE49-F238E27FC236}">
              <a16:creationId xmlns:a16="http://schemas.microsoft.com/office/drawing/2014/main" id="{EC4F3AD3-56AE-B5C7-9B11-8EBA41B137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9250" y="44823"/>
          <a:ext cx="981635" cy="990599"/>
        </a:xfrm>
        <a:prstGeom prst="rect">
          <a:avLst/>
        </a:prstGeom>
      </xdr:spPr>
    </xdr:pic>
    <xdr:clientData/>
  </xdr:twoCellAnchor>
  <xdr:twoCellAnchor editAs="oneCell">
    <xdr:from>
      <xdr:col>8</xdr:col>
      <xdr:colOff>573182</xdr:colOff>
      <xdr:row>0</xdr:row>
      <xdr:rowOff>44823</xdr:rowOff>
    </xdr:from>
    <xdr:to>
      <xdr:col>13</xdr:col>
      <xdr:colOff>201706</xdr:colOff>
      <xdr:row>4</xdr:row>
      <xdr:rowOff>126486</xdr:rowOff>
    </xdr:to>
    <xdr:pic>
      <xdr:nvPicPr>
        <xdr:cNvPr id="13" name="Picture 12">
          <a:extLst>
            <a:ext uri="{FF2B5EF4-FFF2-40B4-BE49-F238E27FC236}">
              <a16:creationId xmlns:a16="http://schemas.microsoft.com/office/drawing/2014/main" id="{B6EC6533-A864-7C37-74BB-CCB22047AF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62358" y="44823"/>
          <a:ext cx="2654113" cy="8436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28</xdr:row>
      <xdr:rowOff>100012</xdr:rowOff>
    </xdr:from>
    <xdr:to>
      <xdr:col>3</xdr:col>
      <xdr:colOff>323850</xdr:colOff>
      <xdr:row>45</xdr:row>
      <xdr:rowOff>152400</xdr:rowOff>
    </xdr:to>
    <xdr:graphicFrame macro="">
      <xdr:nvGraphicFramePr>
        <xdr:cNvPr id="7" name="Chart 6">
          <a:extLst>
            <a:ext uri="{FF2B5EF4-FFF2-40B4-BE49-F238E27FC236}">
              <a16:creationId xmlns:a16="http://schemas.microsoft.com/office/drawing/2014/main" id="{5CA7790A-BB7A-4B4E-0131-8A4317F5D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28</xdr:row>
      <xdr:rowOff>100011</xdr:rowOff>
    </xdr:from>
    <xdr:to>
      <xdr:col>11</xdr:col>
      <xdr:colOff>476250</xdr:colOff>
      <xdr:row>46</xdr:row>
      <xdr:rowOff>28574</xdr:rowOff>
    </xdr:to>
    <xdr:graphicFrame macro="">
      <xdr:nvGraphicFramePr>
        <xdr:cNvPr id="8" name="Chart 7">
          <a:extLst>
            <a:ext uri="{FF2B5EF4-FFF2-40B4-BE49-F238E27FC236}">
              <a16:creationId xmlns:a16="http://schemas.microsoft.com/office/drawing/2014/main" id="{4FEEAB2B-CA5D-52A8-63B2-F678F637B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200024</xdr:colOff>
      <xdr:row>46</xdr:row>
      <xdr:rowOff>138111</xdr:rowOff>
    </xdr:from>
    <xdr:to>
      <xdr:col>3</xdr:col>
      <xdr:colOff>323849</xdr:colOff>
      <xdr:row>63</xdr:row>
      <xdr:rowOff>180974</xdr:rowOff>
    </xdr:to>
    <xdr:graphicFrame macro="">
      <xdr:nvGraphicFramePr>
        <xdr:cNvPr id="9" name="Chart 8">
          <a:extLst>
            <a:ext uri="{FF2B5EF4-FFF2-40B4-BE49-F238E27FC236}">
              <a16:creationId xmlns:a16="http://schemas.microsoft.com/office/drawing/2014/main" id="{0855020A-3B44-A54E-1B36-8F9DBD93A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533399</xdr:colOff>
      <xdr:row>46</xdr:row>
      <xdr:rowOff>147636</xdr:rowOff>
    </xdr:from>
    <xdr:to>
      <xdr:col>11</xdr:col>
      <xdr:colOff>428624</xdr:colOff>
      <xdr:row>63</xdr:row>
      <xdr:rowOff>114299</xdr:rowOff>
    </xdr:to>
    <xdr:graphicFrame macro="">
      <xdr:nvGraphicFramePr>
        <xdr:cNvPr id="10" name="Chart 9">
          <a:extLst>
            <a:ext uri="{FF2B5EF4-FFF2-40B4-BE49-F238E27FC236}">
              <a16:creationId xmlns:a16="http://schemas.microsoft.com/office/drawing/2014/main" id="{637F4CC7-6F35-8EFD-7265-222427758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28</xdr:row>
      <xdr:rowOff>100012</xdr:rowOff>
    </xdr:from>
    <xdr:to>
      <xdr:col>3</xdr:col>
      <xdr:colOff>323850</xdr:colOff>
      <xdr:row>45</xdr:row>
      <xdr:rowOff>152400</xdr:rowOff>
    </xdr:to>
    <xdr:graphicFrame macro="">
      <xdr:nvGraphicFramePr>
        <xdr:cNvPr id="2" name="Chart 1">
          <a:extLst>
            <a:ext uri="{FF2B5EF4-FFF2-40B4-BE49-F238E27FC236}">
              <a16:creationId xmlns:a16="http://schemas.microsoft.com/office/drawing/2014/main" id="{016B7C34-C37F-4AD5-AEFB-EBA117654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28</xdr:row>
      <xdr:rowOff>100011</xdr:rowOff>
    </xdr:from>
    <xdr:to>
      <xdr:col>11</xdr:col>
      <xdr:colOff>476250</xdr:colOff>
      <xdr:row>46</xdr:row>
      <xdr:rowOff>28574</xdr:rowOff>
    </xdr:to>
    <xdr:graphicFrame macro="">
      <xdr:nvGraphicFramePr>
        <xdr:cNvPr id="3" name="Chart 2">
          <a:extLst>
            <a:ext uri="{FF2B5EF4-FFF2-40B4-BE49-F238E27FC236}">
              <a16:creationId xmlns:a16="http://schemas.microsoft.com/office/drawing/2014/main" id="{E6CDAD88-CB47-479A-B6D8-B0B3CB531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200024</xdr:colOff>
      <xdr:row>46</xdr:row>
      <xdr:rowOff>138111</xdr:rowOff>
    </xdr:from>
    <xdr:to>
      <xdr:col>3</xdr:col>
      <xdr:colOff>323849</xdr:colOff>
      <xdr:row>63</xdr:row>
      <xdr:rowOff>180974</xdr:rowOff>
    </xdr:to>
    <xdr:graphicFrame macro="">
      <xdr:nvGraphicFramePr>
        <xdr:cNvPr id="4" name="Chart 3">
          <a:extLst>
            <a:ext uri="{FF2B5EF4-FFF2-40B4-BE49-F238E27FC236}">
              <a16:creationId xmlns:a16="http://schemas.microsoft.com/office/drawing/2014/main" id="{31A517E4-85F2-47C4-A8F0-03DAFD054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533399</xdr:colOff>
      <xdr:row>46</xdr:row>
      <xdr:rowOff>147636</xdr:rowOff>
    </xdr:from>
    <xdr:to>
      <xdr:col>11</xdr:col>
      <xdr:colOff>428624</xdr:colOff>
      <xdr:row>63</xdr:row>
      <xdr:rowOff>114299</xdr:rowOff>
    </xdr:to>
    <xdr:graphicFrame macro="">
      <xdr:nvGraphicFramePr>
        <xdr:cNvPr id="5" name="Chart 4">
          <a:extLst>
            <a:ext uri="{FF2B5EF4-FFF2-40B4-BE49-F238E27FC236}">
              <a16:creationId xmlns:a16="http://schemas.microsoft.com/office/drawing/2014/main" id="{7BA963CA-FB73-4516-B386-D30BFF752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oates, Angela | APHL" id="{63DAC2B3-8FEF-494F-A25C-9F28C74CC122}" userId="S::Angela.Poates@aphl.org::ed0c03ca-794e-434e-b107-fe5c4564b66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D5C3B52-64B2-483F-BE80-4A7D23413C6B}" name="Table20" displayName="Table20" ref="B4:F36" totalsRowShown="0" headerRowDxfId="61" headerRowBorderDxfId="60" tableBorderDxfId="59" totalsRowBorderDxfId="58">
  <tableColumns count="5">
    <tableColumn id="1" xr3:uid="{0391F392-CA50-4303-BC94-5917CC76BB96}" name="NGS Workforce" dataDxfId="57"/>
    <tableColumn id="2" xr3:uid="{DF2D311A-1288-48E3-81A1-3E7F8FA8560A}" name="Annual salary" dataDxfId="56"/>
    <tableColumn id="3" xr3:uid="{2B2DCC32-FEA5-4F3D-A239-5A4C15A68A05}" name="Percentage of time spent on sequencing" dataDxfId="55"/>
    <tableColumn id="4" xr3:uid="{519332E4-D09C-473E-914C-3EAEBCD2AFFE}" name="Annual personnel cost" dataDxfId="54">
      <calculatedColumnFormula>C5*D5</calculatedColumnFormula>
    </tableColumn>
    <tableColumn id="5" xr3:uid="{035140EC-3CE9-4869-BDCD-E8578C25EEAC}" name="Personnel cost per sample" dataDxfId="53">
      <calculatedColumnFormula>IFERROR(E5/'Data entry'!$F$32,0)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4E52F3-C7F2-425D-BB79-B3F6AFA4172E}" name="Table21" displayName="Table21" ref="I4:I36" totalsRowShown="0" headerRowDxfId="52" dataDxfId="51" tableBorderDxfId="50" dataCellStyle="Comma">
  <tableColumns count="1">
    <tableColumn id="1" xr3:uid="{DE601E81-FD72-4F01-9E1D-F3FB96697B56}" name="local currency (reference only)" dataDxfId="49" dataCellStyle="Comma">
      <calculatedColumnFormula>IFERROR('Reagents and consumables'!$O$2*E5,"")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E91460-BDBD-4F57-9CD5-6864AE3D2FF7}" name="Table15" displayName="Table15" ref="B6:C32" totalsRowShown="0" headerRowDxfId="48" dataDxfId="47" tableBorderDxfId="46">
  <tableColumns count="2">
    <tableColumn id="1" xr3:uid="{4FB6E8BC-87B7-4175-AFC9-E241FF246CC8}" name="Facility services" dataDxfId="45"/>
    <tableColumn id="2" xr3:uid="{CC7F3B04-AC66-4183-8D9B-FF5C4AC4406A}" name="Cost per month"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3EBB56A-80D1-4E4D-8883-890493176DED}" name="Table16" displayName="Table16" ref="E24:I43" totalsRowShown="0" headerRowDxfId="43" tableBorderDxfId="42">
  <tableColumns count="5">
    <tableColumn id="1" xr3:uid="{F9E76662-69F1-4DA2-A6D2-4B09A9A1BCFA}" name="Transportation services" dataDxfId="41"/>
    <tableColumn id="2" xr3:uid="{3A939CB1-8B86-4A82-B580-3E82A29DB92C}" name="Shipment method" dataDxfId="40">
      <calculatedColumnFormula>Language!B147</calculatedColumnFormula>
    </tableColumn>
    <tableColumn id="3" xr3:uid="{7BED8AC8-440E-484B-8764-0B11FA66F601}" name="Annual cost" dataDxfId="39"/>
    <tableColumn id="5" xr3:uid="{C18FCBB9-794A-460C-853C-6A55D792468F}" name="Column1" dataDxfId="38"/>
    <tableColumn id="4" xr3:uid="{BF80E5A6-02C0-40D5-B5A6-81B8BAF96D59}" name="Transportation cost per sample per service" dataDxfId="37">
      <calculatedColumnFormula>IFERROR(G25*Table16[[#This Row],[Column1]]/('Data entry'!$F$32),0)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18C148-1C01-4778-A158-D0D8470CD82B}" name="Table19" displayName="Table19" ref="K24:K43" totalsRowShown="0" headerRowDxfId="36" dataDxfId="34" headerRowBorderDxfId="35" tableBorderDxfId="33">
  <tableColumns count="1">
    <tableColumn id="1" xr3:uid="{E3922ABF-4068-4AEB-9901-57347E059513}" name="local currency (reference only)" dataDxfId="32">
      <calculatedColumnFormula>IFERROR('Reagents and consumables'!$O$2*G25,"")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04D072-A81F-489E-808F-9C23483BC6B4}" name="Table1" displayName="Table1" ref="B4:H20" totalsRowShown="0" headerRowDxfId="31">
  <tableColumns count="7">
    <tableColumn id="1" xr3:uid="{85F2D150-64FA-4E46-B444-84C50DF2300B}" name="Quality management activity" dataDxfId="30"/>
    <tableColumn id="2" xr3:uid="{DA93EE17-ED6C-4743-AAA5-E0640EDD2E34}" name="Cost" dataDxfId="29"/>
    <tableColumn id="3" xr3:uid="{BA2911BA-B262-429F-A946-6A9E745D3B01}" name="Quantity " dataDxfId="28"/>
    <tableColumn id="7" xr3:uid="{AA589FCF-5D61-42C1-8087-E66EF1B891FC}" name="Column1" dataDxfId="27"/>
    <tableColumn id="4" xr3:uid="{3C52EE68-FF76-47EF-B59A-3254554C5336}" name="Annual activity cost" dataDxfId="26">
      <calculatedColumnFormula>C5*D5*E5</calculatedColumnFormula>
    </tableColumn>
    <tableColumn id="5" xr3:uid="{E51205CB-FD57-4B67-94FE-F3DF671F78F3}" name="Annual activity cost per sample" dataDxfId="25">
      <calculatedColumnFormula>IFERROR(F5/('Data entry'!$F$32),0)</calculatedColumnFormula>
    </tableColumn>
    <tableColumn id="6" xr3:uid="{7517F8C8-7358-4CDC-AD94-9E57353E8DC9}" name="Comments" dataDxf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8EF95-B09F-4EC3-AD9F-6C8F37EACB90}" name="Table2" displayName="Table2" ref="K4:K20" totalsRowShown="0" headerRowDxfId="23" dataDxfId="22" tableBorderDxfId="21">
  <tableColumns count="1">
    <tableColumn id="1" xr3:uid="{EF8F55BC-33DF-4C44-BA22-BDB4BE326493}" name="local currency (reference only)" dataDxfId="20">
      <calculatedColumnFormula>IFERROR('Reagents and consumables'!$O$2*F5,"")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 dT="2026-04-20T20:41:44.12" personId="{63DAC2B3-8FEF-494F-A25C-9F28C74CC122}" id="{6C0D9C17-7A80-4AFA-8EEA-FAAF33D6B67C}">
    <text>Why is this 0?</text>
  </threadedComment>
  <threadedComment ref="D11" dT="2026-04-20T20:41:34.20" personId="{63DAC2B3-8FEF-494F-A25C-9F28C74CC122}" id="{F3337C4D-3CDA-4FFC-B87A-686DDA7C1D76}">
    <text>Why is this 0?</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eulab@who.int" TargetMode="External"/><Relationship Id="rId1" Type="http://schemas.openxmlformats.org/officeDocument/2006/relationships/hyperlink" Target="https://iris.who.int/handle/10665/38493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ncbi.nlm.nih.gov/pmc/articles/PMC5405243/" TargetMode="External"/><Relationship Id="rId2" Type="http://schemas.openxmlformats.org/officeDocument/2006/relationships/hyperlink" Target="https://www.nature.com/articles/ncomms12339" TargetMode="External"/><Relationship Id="rId1" Type="http://schemas.openxmlformats.org/officeDocument/2006/relationships/hyperlink" Target="https://emea.support.illumina.com/downloads/sequencing_coverage_calculator.html" TargetMode="External"/><Relationship Id="rId4"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9721-4EEE-4F42-A503-A9D5EE435E4C}">
  <dimension ref="A7:U86"/>
  <sheetViews>
    <sheetView topLeftCell="A22" zoomScale="120" zoomScaleNormal="120" workbookViewId="0">
      <selection activeCell="D41" sqref="D41"/>
    </sheetView>
  </sheetViews>
  <sheetFormatPr defaultColWidth="9.15625" defaultRowHeight="14.4"/>
  <cols>
    <col min="1" max="3" width="9.15625" style="592"/>
    <col min="4" max="4" width="15.68359375" style="592" customWidth="1"/>
    <col min="5" max="16384" width="9.15625" style="592"/>
  </cols>
  <sheetData>
    <row r="7" spans="1:20" ht="14.7" thickBot="1"/>
    <row r="8" spans="1:20" ht="14.7" thickBot="1">
      <c r="A8" s="724" t="str">
        <f>Language!$B$4</f>
        <v>Select language ☛</v>
      </c>
      <c r="B8" s="725"/>
      <c r="C8" s="726"/>
      <c r="D8" s="608" t="s">
        <v>0</v>
      </c>
    </row>
    <row r="10" spans="1:20" ht="30.6">
      <c r="A10" s="594" t="str">
        <f>Language!B416</f>
        <v>Genomics costing tool, second edition</v>
      </c>
    </row>
    <row r="11" spans="1:20">
      <c r="A11" s="593"/>
    </row>
    <row r="12" spans="1:20">
      <c r="A12" s="719" t="str">
        <f>Language!B459</f>
        <v>Genomics costing tool, second edition is an Excel-based interactive costing tool. Step-by-step guidance on how to use the tool for cost estimation can be found in the publication Genomics costing tool: user manual, second edition. Geneva: World Health Organization; 2026.</v>
      </c>
      <c r="B12" s="719"/>
      <c r="C12" s="719"/>
      <c r="D12" s="719"/>
      <c r="E12" s="719"/>
      <c r="F12" s="719"/>
      <c r="G12" s="719"/>
      <c r="H12" s="719"/>
      <c r="I12" s="719"/>
      <c r="J12" s="719"/>
      <c r="K12" s="719"/>
      <c r="L12" s="719"/>
      <c r="M12" s="719"/>
      <c r="N12" s="719"/>
      <c r="O12" s="719"/>
      <c r="P12" s="719"/>
      <c r="Q12" s="719"/>
      <c r="R12" s="595"/>
      <c r="S12" s="595"/>
      <c r="T12" s="595"/>
    </row>
    <row r="13" spans="1:20">
      <c r="A13" s="720" t="str">
        <f>Language!B419</f>
        <v>Genomics costing tool: user manual, second edition. Geneva: World Health Organization; 2026.</v>
      </c>
      <c r="B13" s="720"/>
      <c r="C13" s="720"/>
      <c r="D13" s="720"/>
      <c r="E13" s="720"/>
      <c r="F13" s="720"/>
      <c r="G13" s="720"/>
      <c r="H13" s="720"/>
      <c r="I13" s="720"/>
      <c r="J13" s="720"/>
      <c r="K13" s="720"/>
      <c r="L13" s="720"/>
      <c r="M13" s="720"/>
      <c r="N13" s="720"/>
      <c r="O13" s="720"/>
      <c r="P13" s="720"/>
      <c r="Q13" s="720"/>
      <c r="R13" s="595"/>
      <c r="S13" s="595"/>
      <c r="T13" s="595"/>
    </row>
    <row r="14" spans="1:20">
      <c r="A14" s="727" t="s">
        <v>2286</v>
      </c>
      <c r="B14" s="728"/>
      <c r="C14" s="728"/>
      <c r="D14" s="728"/>
      <c r="E14" s="728"/>
      <c r="F14" s="728"/>
      <c r="G14" s="728"/>
      <c r="H14" s="728"/>
      <c r="I14" s="728"/>
      <c r="J14" s="728"/>
      <c r="K14" s="728"/>
      <c r="L14" s="728"/>
      <c r="M14" s="728"/>
      <c r="N14" s="728"/>
      <c r="O14" s="728"/>
      <c r="P14" s="728"/>
      <c r="Q14" s="728"/>
      <c r="R14" s="595"/>
      <c r="S14" s="595"/>
      <c r="T14" s="595"/>
    </row>
    <row r="15" spans="1:20">
      <c r="A15" s="719" t="str">
        <f>Language!B458</f>
        <v>Licence: CC BY-NC-SA 3.0 IGO.</v>
      </c>
      <c r="B15" s="719"/>
      <c r="C15" s="719"/>
      <c r="D15" s="719"/>
      <c r="E15" s="719"/>
      <c r="F15" s="719"/>
      <c r="G15" s="719"/>
      <c r="H15" s="719"/>
      <c r="I15" s="719"/>
      <c r="J15" s="719"/>
      <c r="K15" s="719"/>
      <c r="L15" s="719"/>
      <c r="M15" s="719"/>
      <c r="N15" s="719"/>
      <c r="O15" s="719"/>
      <c r="P15" s="719"/>
      <c r="Q15" s="719"/>
      <c r="R15" s="595"/>
      <c r="S15" s="595"/>
      <c r="T15" s="595"/>
    </row>
    <row r="16" spans="1:20">
      <c r="A16" s="728"/>
      <c r="B16" s="728"/>
      <c r="C16" s="728"/>
      <c r="D16" s="728"/>
      <c r="E16" s="728"/>
      <c r="F16" s="728"/>
      <c r="G16" s="728"/>
      <c r="H16" s="728"/>
      <c r="I16" s="728"/>
      <c r="J16" s="728"/>
      <c r="K16" s="728"/>
      <c r="L16" s="728"/>
      <c r="M16" s="728"/>
      <c r="N16" s="728"/>
      <c r="O16" s="728"/>
      <c r="P16" s="728"/>
      <c r="Q16" s="728"/>
      <c r="R16" s="595"/>
      <c r="S16" s="595"/>
      <c r="T16" s="595"/>
    </row>
    <row r="17" spans="1:20">
      <c r="A17" s="720" t="str">
        <f>Language!B421</f>
        <v>For further information, please contact</v>
      </c>
      <c r="B17" s="720"/>
      <c r="C17" s="720"/>
      <c r="D17" s="720"/>
      <c r="E17" s="720"/>
      <c r="F17" s="720"/>
      <c r="G17" s="720"/>
      <c r="H17" s="720"/>
      <c r="I17" s="720"/>
      <c r="J17" s="720"/>
      <c r="K17" s="720"/>
      <c r="L17" s="720"/>
      <c r="M17" s="720"/>
      <c r="N17" s="720"/>
      <c r="O17" s="720"/>
      <c r="P17" s="720"/>
      <c r="Q17" s="720"/>
      <c r="R17" s="595"/>
      <c r="S17" s="595"/>
      <c r="T17" s="595"/>
    </row>
    <row r="18" spans="1:20">
      <c r="A18" s="727" t="s">
        <v>2295</v>
      </c>
      <c r="B18" s="728"/>
      <c r="C18" s="728"/>
      <c r="D18" s="728"/>
      <c r="E18" s="728"/>
      <c r="F18" s="728"/>
      <c r="G18" s="728"/>
      <c r="H18" s="728"/>
      <c r="I18" s="728"/>
      <c r="J18" s="728"/>
      <c r="K18" s="728"/>
      <c r="L18" s="728"/>
      <c r="M18" s="728"/>
      <c r="N18" s="728"/>
      <c r="O18" s="728"/>
      <c r="P18" s="728"/>
      <c r="Q18" s="728"/>
      <c r="R18" s="595"/>
      <c r="S18" s="595"/>
      <c r="T18" s="595"/>
    </row>
    <row r="19" spans="1:20">
      <c r="A19" s="595"/>
      <c r="B19" s="595"/>
      <c r="C19" s="595"/>
      <c r="D19" s="595"/>
      <c r="E19" s="595"/>
      <c r="F19" s="595"/>
      <c r="G19" s="595"/>
      <c r="H19" s="595"/>
      <c r="I19" s="595"/>
      <c r="J19" s="595"/>
      <c r="K19" s="595"/>
      <c r="L19" s="595"/>
      <c r="M19" s="595"/>
      <c r="N19" s="595"/>
      <c r="O19" s="595"/>
      <c r="P19" s="595"/>
      <c r="Q19" s="595"/>
      <c r="R19" s="595"/>
      <c r="S19" s="595"/>
      <c r="T19" s="595"/>
    </row>
    <row r="20" spans="1:20" ht="31.5" customHeight="1">
      <c r="A20" s="719" t="str">
        <f>Language!B423</f>
        <v>Please review the Genomics costing tool: user manual, second edition. Geneva: World Health Organization; 2026. https://iris.who.int/handle/10665/384933. Licence: CC BY-NC-SA 3.0 IGO. carefully before using this tool. The tool is completed in a series of steps:</v>
      </c>
      <c r="B20" s="719"/>
      <c r="C20" s="719"/>
      <c r="D20" s="719"/>
      <c r="E20" s="719"/>
      <c r="F20" s="719"/>
      <c r="G20" s="719"/>
      <c r="H20" s="719"/>
      <c r="I20" s="719"/>
      <c r="J20" s="719"/>
      <c r="K20" s="719"/>
      <c r="L20" s="719"/>
      <c r="M20" s="719"/>
      <c r="N20" s="719"/>
      <c r="O20" s="719"/>
      <c r="P20" s="719"/>
      <c r="Q20" s="719"/>
      <c r="R20" s="595"/>
      <c r="S20" s="595"/>
      <c r="T20" s="595"/>
    </row>
    <row r="21" spans="1:20" ht="15" customHeight="1">
      <c r="A21" s="719" t="str">
        <f>Language!B424</f>
        <v>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v>
      </c>
      <c r="B21" s="719"/>
      <c r="C21" s="719"/>
      <c r="D21" s="719"/>
      <c r="E21" s="719"/>
      <c r="F21" s="719"/>
      <c r="G21" s="719"/>
      <c r="H21" s="719"/>
      <c r="I21" s="719"/>
      <c r="J21" s="719"/>
      <c r="K21" s="719"/>
      <c r="L21" s="719"/>
      <c r="M21" s="719"/>
      <c r="N21" s="719"/>
      <c r="O21" s="719"/>
      <c r="P21" s="719"/>
      <c r="Q21" s="719"/>
    </row>
    <row r="22" spans="1:20" ht="15" customHeight="1">
      <c r="A22" s="719"/>
      <c r="B22" s="719"/>
      <c r="C22" s="719"/>
      <c r="D22" s="719"/>
      <c r="E22" s="719"/>
      <c r="F22" s="719"/>
      <c r="G22" s="719"/>
      <c r="H22" s="719"/>
      <c r="I22" s="719"/>
      <c r="J22" s="719"/>
      <c r="K22" s="719"/>
      <c r="L22" s="719"/>
      <c r="M22" s="719"/>
      <c r="N22" s="719"/>
      <c r="O22" s="719"/>
      <c r="P22" s="719"/>
      <c r="Q22" s="719"/>
    </row>
    <row r="23" spans="1:20" ht="15" customHeight="1">
      <c r="A23" s="670"/>
      <c r="B23" s="670"/>
      <c r="C23" s="670"/>
      <c r="D23" s="670"/>
      <c r="E23" s="670"/>
      <c r="F23" s="670"/>
      <c r="G23" s="670"/>
      <c r="H23" s="670"/>
      <c r="I23" s="670"/>
      <c r="J23" s="670"/>
      <c r="K23" s="670"/>
      <c r="L23" s="670"/>
      <c r="M23" s="670"/>
      <c r="N23" s="670"/>
      <c r="O23" s="670"/>
      <c r="P23" s="670"/>
      <c r="Q23" s="670"/>
    </row>
    <row r="24" spans="1:20" ht="15" customHeight="1">
      <c r="A24" s="730" t="str">
        <f>Language!$B$247</f>
        <v>Fixed titles and totals</v>
      </c>
      <c r="B24" s="730"/>
      <c r="C24" s="730"/>
      <c r="D24" s="730"/>
      <c r="E24" s="730"/>
      <c r="F24" s="730"/>
      <c r="G24" s="730"/>
      <c r="H24" s="730"/>
      <c r="I24" s="730"/>
      <c r="J24" s="730"/>
      <c r="K24" s="730"/>
      <c r="L24" s="730"/>
      <c r="M24" s="730"/>
      <c r="N24" s="730"/>
      <c r="O24" s="730"/>
      <c r="P24" s="730"/>
      <c r="Q24" s="730"/>
    </row>
    <row r="25" spans="1:20" ht="15" customHeight="1">
      <c r="A25" s="731" t="str">
        <f>Language!$B$248</f>
        <v>General information and legends</v>
      </c>
      <c r="B25" s="731"/>
      <c r="C25" s="731"/>
      <c r="D25" s="731"/>
      <c r="E25" s="731"/>
      <c r="F25" s="731"/>
      <c r="G25" s="731"/>
      <c r="H25" s="731"/>
      <c r="I25" s="731"/>
      <c r="J25" s="731"/>
      <c r="K25" s="731"/>
      <c r="L25" s="731"/>
      <c r="M25" s="731"/>
      <c r="N25" s="731"/>
      <c r="O25" s="731"/>
      <c r="P25" s="731"/>
      <c r="Q25" s="731"/>
    </row>
    <row r="26" spans="1:20" ht="15" customHeight="1">
      <c r="A26" s="735" t="str">
        <f>Language!$B$44</f>
        <v>Fixed or formula (cannot be edited)</v>
      </c>
      <c r="B26" s="735"/>
      <c r="C26" s="735"/>
      <c r="D26" s="735"/>
      <c r="E26" s="735"/>
      <c r="F26" s="735"/>
      <c r="G26" s="735"/>
      <c r="H26" s="735"/>
      <c r="I26" s="735"/>
      <c r="J26" s="735"/>
      <c r="K26" s="735"/>
      <c r="L26" s="735"/>
      <c r="M26" s="735"/>
      <c r="N26" s="735"/>
      <c r="O26" s="735"/>
      <c r="P26" s="735"/>
      <c r="Q26" s="735"/>
    </row>
    <row r="27" spans="1:20" ht="15" customHeight="1">
      <c r="A27" s="736" t="str">
        <f>Language!$B$43</f>
        <v>Select from drop-down options</v>
      </c>
      <c r="B27" s="736"/>
      <c r="C27" s="736"/>
      <c r="D27" s="736"/>
      <c r="E27" s="736"/>
      <c r="F27" s="736"/>
      <c r="G27" s="736"/>
      <c r="H27" s="736"/>
      <c r="I27" s="736"/>
      <c r="J27" s="736"/>
      <c r="K27" s="736"/>
      <c r="L27" s="736"/>
      <c r="M27" s="736"/>
      <c r="N27" s="736"/>
      <c r="O27" s="736"/>
      <c r="P27" s="736"/>
      <c r="Q27" s="736"/>
    </row>
    <row r="28" spans="1:20" ht="15" customHeight="1">
      <c r="A28" s="737" t="str">
        <f>Language!$B$42</f>
        <v>Fillable (free text)</v>
      </c>
      <c r="B28" s="737"/>
      <c r="C28" s="737"/>
      <c r="D28" s="737"/>
      <c r="E28" s="737"/>
      <c r="F28" s="737"/>
      <c r="G28" s="737"/>
      <c r="H28" s="737"/>
      <c r="I28" s="737"/>
      <c r="J28" s="737"/>
      <c r="K28" s="737"/>
      <c r="L28" s="737"/>
      <c r="M28" s="737"/>
      <c r="N28" s="737"/>
      <c r="O28" s="737"/>
      <c r="P28" s="737"/>
      <c r="Q28" s="737"/>
    </row>
    <row r="29" spans="1:20" ht="15" customHeight="1">
      <c r="A29" s="732" t="str">
        <f>Language!$B$412</f>
        <v>Prefilled data (contains free text) – edit information or value if necessary (will not affect calculation/formulas)</v>
      </c>
      <c r="B29" s="732"/>
      <c r="C29" s="732"/>
      <c r="D29" s="732"/>
      <c r="E29" s="732"/>
      <c r="F29" s="732"/>
      <c r="G29" s="732"/>
      <c r="H29" s="732"/>
      <c r="I29" s="732"/>
      <c r="J29" s="732"/>
      <c r="K29" s="732"/>
      <c r="L29" s="732"/>
      <c r="M29" s="732"/>
      <c r="N29" s="732"/>
      <c r="O29" s="732"/>
      <c r="P29" s="732"/>
      <c r="Q29" s="732"/>
    </row>
    <row r="30" spans="1:20" ht="15" customHeight="1">
      <c r="A30" s="733" t="str">
        <f>Language!$B$45</f>
        <v>Prefilled data (contains formulas) – edit information or value if necessary/with caution (formula will be deleted)</v>
      </c>
      <c r="B30" s="733"/>
      <c r="C30" s="733"/>
      <c r="D30" s="733"/>
      <c r="E30" s="733"/>
      <c r="F30" s="733"/>
      <c r="G30" s="733"/>
      <c r="H30" s="733"/>
      <c r="I30" s="733"/>
      <c r="J30" s="733"/>
      <c r="K30" s="733"/>
      <c r="L30" s="733"/>
      <c r="M30" s="733"/>
      <c r="N30" s="733"/>
      <c r="O30" s="733"/>
      <c r="P30" s="733"/>
      <c r="Q30" s="733"/>
    </row>
    <row r="31" spans="1:20" ht="15" customHeight="1">
      <c r="A31" s="734" t="str">
        <f>Language!$B$409</f>
        <v>A cell that had contained a formula, which was deleted by the user</v>
      </c>
      <c r="B31" s="734"/>
      <c r="C31" s="734"/>
      <c r="D31" s="734"/>
      <c r="E31" s="734"/>
      <c r="F31" s="734"/>
      <c r="G31" s="734"/>
      <c r="H31" s="734"/>
      <c r="I31" s="734"/>
      <c r="J31" s="734"/>
      <c r="K31" s="734"/>
      <c r="L31" s="734"/>
      <c r="M31" s="734"/>
      <c r="N31" s="734"/>
      <c r="O31" s="734"/>
      <c r="P31" s="734"/>
      <c r="Q31" s="734"/>
    </row>
    <row r="32" spans="1:20" ht="15" customHeight="1">
      <c r="A32" s="671"/>
      <c r="B32" s="671"/>
      <c r="C32" s="671"/>
      <c r="D32" s="671"/>
      <c r="E32" s="671"/>
      <c r="F32" s="671"/>
      <c r="G32" s="671"/>
      <c r="H32" s="671"/>
      <c r="I32" s="671"/>
      <c r="J32" s="671"/>
      <c r="K32" s="671"/>
      <c r="L32" s="671"/>
      <c r="M32" s="671"/>
      <c r="N32" s="671"/>
      <c r="O32" s="671"/>
      <c r="P32" s="671"/>
      <c r="Q32" s="671"/>
    </row>
    <row r="33" spans="1:21" ht="15" customHeight="1">
      <c r="A33" s="719" t="str">
        <f>Language!B425</f>
        <v>Step 2. Once the “Data entry” sheet is completed, review the output in the “Reagents and consumables” and “Equipment” sheets, especially the prices. Complete any missing information</v>
      </c>
      <c r="B33" s="719"/>
      <c r="C33" s="719"/>
      <c r="D33" s="719"/>
      <c r="E33" s="719"/>
      <c r="F33" s="719"/>
      <c r="G33" s="719"/>
      <c r="H33" s="719"/>
      <c r="I33" s="719"/>
      <c r="J33" s="719"/>
      <c r="K33" s="719"/>
      <c r="L33" s="719"/>
      <c r="M33" s="719"/>
      <c r="N33" s="719"/>
      <c r="O33" s="719"/>
      <c r="P33" s="719"/>
      <c r="Q33" s="719"/>
    </row>
    <row r="34" spans="1:21" ht="15" customHeight="1">
      <c r="A34" s="719"/>
      <c r="B34" s="719"/>
      <c r="C34" s="719"/>
      <c r="D34" s="719"/>
      <c r="E34" s="719"/>
      <c r="F34" s="719"/>
      <c r="G34" s="719"/>
      <c r="H34" s="719"/>
      <c r="I34" s="719"/>
      <c r="J34" s="719"/>
      <c r="K34" s="719"/>
      <c r="L34" s="719"/>
      <c r="M34" s="719"/>
      <c r="N34" s="719"/>
      <c r="O34" s="719"/>
      <c r="P34" s="719"/>
      <c r="Q34" s="719"/>
    </row>
    <row r="35" spans="1:21">
      <c r="A35" s="719"/>
      <c r="B35" s="719"/>
      <c r="C35" s="719"/>
      <c r="D35" s="719"/>
      <c r="E35" s="719"/>
      <c r="F35" s="719"/>
      <c r="G35" s="719"/>
      <c r="H35" s="719"/>
      <c r="I35" s="719"/>
      <c r="J35" s="719"/>
      <c r="K35" s="719"/>
      <c r="L35" s="719"/>
      <c r="M35" s="719"/>
      <c r="N35" s="719"/>
      <c r="O35" s="719"/>
      <c r="P35" s="719"/>
      <c r="Q35" s="719"/>
    </row>
    <row r="36" spans="1:21">
      <c r="A36" s="729" t="str">
        <f>Language!B426</f>
        <v xml:space="preserve">Step 3. Fill in the rest of the sheets: “Personnel and training”, “Facility and transport”, “Bioinformatics”, and “Quality management” </v>
      </c>
      <c r="B36" s="729"/>
      <c r="C36" s="729"/>
      <c r="D36" s="729"/>
      <c r="E36" s="729"/>
      <c r="F36" s="729"/>
      <c r="G36" s="729"/>
      <c r="H36" s="729"/>
      <c r="I36" s="729"/>
      <c r="J36" s="729"/>
      <c r="K36" s="729"/>
      <c r="L36" s="729"/>
      <c r="M36" s="729"/>
      <c r="N36" s="729"/>
      <c r="O36" s="729"/>
      <c r="P36" s="729"/>
      <c r="Q36" s="729"/>
    </row>
    <row r="37" spans="1:21">
      <c r="A37" s="729"/>
      <c r="B37" s="729"/>
      <c r="C37" s="729"/>
      <c r="D37" s="729"/>
      <c r="E37" s="729"/>
      <c r="F37" s="729"/>
      <c r="G37" s="729"/>
      <c r="H37" s="729"/>
      <c r="I37" s="729"/>
      <c r="J37" s="729"/>
      <c r="K37" s="729"/>
      <c r="L37" s="729"/>
      <c r="M37" s="729"/>
      <c r="N37" s="729"/>
      <c r="O37" s="729"/>
      <c r="P37" s="729"/>
      <c r="Q37" s="729"/>
    </row>
    <row r="38" spans="1:21" ht="15" customHeight="1">
      <c r="A38" s="719" t="str">
        <f>Language!B427</f>
        <v>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v>
      </c>
      <c r="B38" s="719"/>
      <c r="C38" s="719"/>
      <c r="D38" s="719"/>
      <c r="E38" s="719"/>
      <c r="F38" s="719"/>
      <c r="G38" s="719"/>
      <c r="H38" s="719"/>
      <c r="I38" s="719"/>
      <c r="J38" s="719"/>
      <c r="K38" s="719"/>
      <c r="L38" s="719"/>
      <c r="M38" s="719"/>
      <c r="N38" s="719"/>
      <c r="O38" s="719"/>
      <c r="P38" s="719"/>
      <c r="Q38" s="719"/>
      <c r="R38" s="595"/>
      <c r="S38" s="595"/>
      <c r="T38" s="595"/>
      <c r="U38" s="595"/>
    </row>
    <row r="39" spans="1:21">
      <c r="A39" s="719"/>
      <c r="B39" s="719"/>
      <c r="C39" s="719"/>
      <c r="D39" s="719"/>
      <c r="E39" s="719"/>
      <c r="F39" s="719"/>
      <c r="G39" s="719"/>
      <c r="H39" s="719"/>
      <c r="I39" s="719"/>
      <c r="J39" s="719"/>
      <c r="K39" s="719"/>
      <c r="L39" s="719"/>
      <c r="M39" s="719"/>
      <c r="N39" s="719"/>
      <c r="O39" s="719"/>
      <c r="P39" s="719"/>
      <c r="Q39" s="719"/>
      <c r="R39" s="595"/>
      <c r="S39" s="595"/>
      <c r="T39" s="595"/>
      <c r="U39" s="595"/>
    </row>
    <row r="40" spans="1:21">
      <c r="A40" s="719"/>
      <c r="B40" s="719"/>
      <c r="C40" s="719"/>
      <c r="D40" s="719"/>
      <c r="E40" s="719"/>
      <c r="F40" s="719"/>
      <c r="G40" s="719"/>
      <c r="H40" s="719"/>
      <c r="I40" s="719"/>
      <c r="J40" s="719"/>
      <c r="K40" s="719"/>
      <c r="L40" s="719"/>
      <c r="M40" s="719"/>
      <c r="N40" s="719"/>
      <c r="O40" s="719"/>
      <c r="P40" s="719"/>
      <c r="Q40" s="719"/>
      <c r="R40" s="595"/>
      <c r="S40" s="595"/>
      <c r="T40" s="595"/>
      <c r="U40" s="595"/>
    </row>
    <row r="41" spans="1:21">
      <c r="R41" s="595"/>
      <c r="S41" s="595"/>
      <c r="T41" s="595"/>
      <c r="U41" s="595"/>
    </row>
    <row r="42" spans="1:21">
      <c r="A42" s="713"/>
      <c r="B42" s="713"/>
      <c r="C42" s="713"/>
      <c r="D42" s="713"/>
      <c r="E42" s="713"/>
      <c r="F42" s="713"/>
      <c r="G42" s="713"/>
      <c r="H42" s="713"/>
      <c r="I42" s="713"/>
      <c r="J42" s="713"/>
      <c r="K42" s="713"/>
      <c r="L42" s="713"/>
      <c r="M42" s="713"/>
      <c r="N42" s="713"/>
      <c r="O42" s="713"/>
      <c r="P42" s="713"/>
      <c r="Q42" s="713"/>
      <c r="R42" s="595"/>
      <c r="S42" s="595"/>
      <c r="T42" s="595"/>
      <c r="U42" s="595"/>
    </row>
    <row r="43" spans="1:21">
      <c r="A43" s="721" t="str">
        <f>Language!B428</f>
        <v>© World Health Organization 2026</v>
      </c>
      <c r="B43" s="721"/>
      <c r="C43" s="721"/>
      <c r="D43" s="721"/>
      <c r="E43" s="721"/>
      <c r="F43" s="721"/>
      <c r="G43" s="721"/>
      <c r="H43" s="721"/>
      <c r="I43" s="721"/>
      <c r="J43" s="721"/>
      <c r="K43" s="721"/>
      <c r="L43" s="721"/>
      <c r="M43" s="721"/>
      <c r="N43" s="721"/>
      <c r="O43" s="721"/>
      <c r="P43" s="721"/>
      <c r="Q43" s="721"/>
      <c r="R43" s="595"/>
      <c r="S43" s="595"/>
      <c r="T43" s="595"/>
      <c r="U43" s="595"/>
    </row>
    <row r="44" spans="1:21">
      <c r="A44" s="720" t="str">
        <f>Language!B429</f>
        <v>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https://iris.who.int/.
Sales, rights and licensing. To purchase WHO publications, see https://www.who.int/publications/book-orders. To submit requests for commercial use and queries on rights and licensing, see https://www.who.int/copyright.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v>
      </c>
      <c r="B44" s="720"/>
      <c r="C44" s="720"/>
      <c r="D44" s="720"/>
      <c r="E44" s="720"/>
      <c r="F44" s="720"/>
      <c r="G44" s="720"/>
      <c r="H44" s="720"/>
      <c r="I44" s="720"/>
      <c r="J44" s="720"/>
      <c r="K44" s="720"/>
      <c r="L44" s="720"/>
      <c r="M44" s="720"/>
      <c r="N44" s="720"/>
      <c r="O44" s="720"/>
      <c r="P44" s="720"/>
      <c r="Q44" s="720"/>
      <c r="R44" s="595"/>
      <c r="S44" s="595"/>
      <c r="T44" s="595"/>
      <c r="U44" s="595"/>
    </row>
    <row r="45" spans="1:21">
      <c r="A45" s="720"/>
      <c r="B45" s="720"/>
      <c r="C45" s="720"/>
      <c r="D45" s="720"/>
      <c r="E45" s="720"/>
      <c r="F45" s="720"/>
      <c r="G45" s="720"/>
      <c r="H45" s="720"/>
      <c r="I45" s="720"/>
      <c r="J45" s="720"/>
      <c r="K45" s="720"/>
      <c r="L45" s="720"/>
      <c r="M45" s="720"/>
      <c r="N45" s="720"/>
      <c r="O45" s="720"/>
      <c r="P45" s="720"/>
      <c r="Q45" s="720"/>
      <c r="R45" s="595"/>
      <c r="S45" s="595"/>
      <c r="T45" s="595"/>
      <c r="U45" s="595"/>
    </row>
    <row r="46" spans="1:21">
      <c r="A46" s="720"/>
      <c r="B46" s="720"/>
      <c r="C46" s="720"/>
      <c r="D46" s="720"/>
      <c r="E46" s="720"/>
      <c r="F46" s="720"/>
      <c r="G46" s="720"/>
      <c r="H46" s="720"/>
      <c r="I46" s="720"/>
      <c r="J46" s="720"/>
      <c r="K46" s="720"/>
      <c r="L46" s="720"/>
      <c r="M46" s="720"/>
      <c r="N46" s="720"/>
      <c r="O46" s="720"/>
      <c r="P46" s="720"/>
      <c r="Q46" s="720"/>
      <c r="R46" s="595"/>
      <c r="S46" s="595"/>
      <c r="T46" s="595"/>
      <c r="U46" s="595"/>
    </row>
    <row r="47" spans="1:21">
      <c r="A47" s="720"/>
      <c r="B47" s="720"/>
      <c r="C47" s="720"/>
      <c r="D47" s="720"/>
      <c r="E47" s="720"/>
      <c r="F47" s="720"/>
      <c r="G47" s="720"/>
      <c r="H47" s="720"/>
      <c r="I47" s="720"/>
      <c r="J47" s="720"/>
      <c r="K47" s="720"/>
      <c r="L47" s="720"/>
      <c r="M47" s="720"/>
      <c r="N47" s="720"/>
      <c r="O47" s="720"/>
      <c r="P47" s="720"/>
      <c r="Q47" s="720"/>
      <c r="R47" s="595"/>
      <c r="S47" s="595"/>
      <c r="T47" s="595"/>
      <c r="U47" s="595"/>
    </row>
    <row r="48" spans="1:21">
      <c r="A48" s="720"/>
      <c r="B48" s="720"/>
      <c r="C48" s="720"/>
      <c r="D48" s="720"/>
      <c r="E48" s="720"/>
      <c r="F48" s="720"/>
      <c r="G48" s="720"/>
      <c r="H48" s="720"/>
      <c r="I48" s="720"/>
      <c r="J48" s="720"/>
      <c r="K48" s="720"/>
      <c r="L48" s="720"/>
      <c r="M48" s="720"/>
      <c r="N48" s="720"/>
      <c r="O48" s="720"/>
      <c r="P48" s="720"/>
      <c r="Q48" s="720"/>
      <c r="R48" s="595"/>
      <c r="S48" s="595"/>
      <c r="T48" s="595"/>
      <c r="U48" s="595"/>
    </row>
    <row r="49" spans="1:21">
      <c r="A49" s="720"/>
      <c r="B49" s="720"/>
      <c r="C49" s="720"/>
      <c r="D49" s="720"/>
      <c r="E49" s="720"/>
      <c r="F49" s="720"/>
      <c r="G49" s="720"/>
      <c r="H49" s="720"/>
      <c r="I49" s="720"/>
      <c r="J49" s="720"/>
      <c r="K49" s="720"/>
      <c r="L49" s="720"/>
      <c r="M49" s="720"/>
      <c r="N49" s="720"/>
      <c r="O49" s="720"/>
      <c r="P49" s="720"/>
      <c r="Q49" s="720"/>
      <c r="R49" s="595"/>
      <c r="S49" s="595"/>
      <c r="T49" s="595"/>
      <c r="U49" s="595"/>
    </row>
    <row r="50" spans="1:21">
      <c r="A50" s="720"/>
      <c r="B50" s="720"/>
      <c r="C50" s="720"/>
      <c r="D50" s="720"/>
      <c r="E50" s="720"/>
      <c r="F50" s="720"/>
      <c r="G50" s="720"/>
      <c r="H50" s="720"/>
      <c r="I50" s="720"/>
      <c r="J50" s="720"/>
      <c r="K50" s="720"/>
      <c r="L50" s="720"/>
      <c r="M50" s="720"/>
      <c r="N50" s="720"/>
      <c r="O50" s="720"/>
      <c r="P50" s="720"/>
      <c r="Q50" s="720"/>
      <c r="R50" s="595"/>
      <c r="S50" s="595"/>
      <c r="T50" s="595"/>
      <c r="U50" s="595"/>
    </row>
    <row r="51" spans="1:21">
      <c r="A51" s="720"/>
      <c r="B51" s="720"/>
      <c r="C51" s="720"/>
      <c r="D51" s="720"/>
      <c r="E51" s="720"/>
      <c r="F51" s="720"/>
      <c r="G51" s="720"/>
      <c r="H51" s="720"/>
      <c r="I51" s="720"/>
      <c r="J51" s="720"/>
      <c r="K51" s="720"/>
      <c r="L51" s="720"/>
      <c r="M51" s="720"/>
      <c r="N51" s="720"/>
      <c r="O51" s="720"/>
      <c r="P51" s="720"/>
      <c r="Q51" s="720"/>
      <c r="R51" s="595"/>
      <c r="S51" s="595"/>
      <c r="T51" s="595"/>
      <c r="U51" s="595"/>
    </row>
    <row r="52" spans="1:21">
      <c r="A52" s="720"/>
      <c r="B52" s="720"/>
      <c r="C52" s="720"/>
      <c r="D52" s="720"/>
      <c r="E52" s="720"/>
      <c r="F52" s="720"/>
      <c r="G52" s="720"/>
      <c r="H52" s="720"/>
      <c r="I52" s="720"/>
      <c r="J52" s="720"/>
      <c r="K52" s="720"/>
      <c r="L52" s="720"/>
      <c r="M52" s="720"/>
      <c r="N52" s="720"/>
      <c r="O52" s="720"/>
      <c r="P52" s="720"/>
      <c r="Q52" s="720"/>
      <c r="R52" s="595"/>
      <c r="S52" s="595"/>
      <c r="T52" s="595"/>
      <c r="U52" s="595"/>
    </row>
    <row r="53" spans="1:21">
      <c r="A53" s="720"/>
      <c r="B53" s="720"/>
      <c r="C53" s="720"/>
      <c r="D53" s="720"/>
      <c r="E53" s="720"/>
      <c r="F53" s="720"/>
      <c r="G53" s="720"/>
      <c r="H53" s="720"/>
      <c r="I53" s="720"/>
      <c r="J53" s="720"/>
      <c r="K53" s="720"/>
      <c r="L53" s="720"/>
      <c r="M53" s="720"/>
      <c r="N53" s="720"/>
      <c r="O53" s="720"/>
      <c r="P53" s="720"/>
      <c r="Q53" s="720"/>
      <c r="R53" s="595"/>
      <c r="S53" s="595"/>
      <c r="T53" s="595"/>
      <c r="U53" s="595"/>
    </row>
    <row r="54" spans="1:21">
      <c r="A54" s="720"/>
      <c r="B54" s="720"/>
      <c r="C54" s="720"/>
      <c r="D54" s="720"/>
      <c r="E54" s="720"/>
      <c r="F54" s="720"/>
      <c r="G54" s="720"/>
      <c r="H54" s="720"/>
      <c r="I54" s="720"/>
      <c r="J54" s="720"/>
      <c r="K54" s="720"/>
      <c r="L54" s="720"/>
      <c r="M54" s="720"/>
      <c r="N54" s="720"/>
      <c r="O54" s="720"/>
      <c r="P54" s="720"/>
      <c r="Q54" s="720"/>
      <c r="R54" s="595"/>
      <c r="S54" s="595"/>
      <c r="T54" s="595"/>
      <c r="U54" s="595"/>
    </row>
    <row r="55" spans="1:21">
      <c r="A55" s="720"/>
      <c r="B55" s="720"/>
      <c r="C55" s="720"/>
      <c r="D55" s="720"/>
      <c r="E55" s="720"/>
      <c r="F55" s="720"/>
      <c r="G55" s="720"/>
      <c r="H55" s="720"/>
      <c r="I55" s="720"/>
      <c r="J55" s="720"/>
      <c r="K55" s="720"/>
      <c r="L55" s="720"/>
      <c r="M55" s="720"/>
      <c r="N55" s="720"/>
      <c r="O55" s="720"/>
      <c r="P55" s="720"/>
      <c r="Q55" s="720"/>
      <c r="R55" s="595"/>
      <c r="S55" s="595"/>
      <c r="T55" s="595"/>
      <c r="U55" s="595"/>
    </row>
    <row r="56" spans="1:21">
      <c r="A56" s="720"/>
      <c r="B56" s="720"/>
      <c r="C56" s="720"/>
      <c r="D56" s="720"/>
      <c r="E56" s="720"/>
      <c r="F56" s="720"/>
      <c r="G56" s="720"/>
      <c r="H56" s="720"/>
      <c r="I56" s="720"/>
      <c r="J56" s="720"/>
      <c r="K56" s="720"/>
      <c r="L56" s="720"/>
      <c r="M56" s="720"/>
      <c r="N56" s="720"/>
      <c r="O56" s="720"/>
      <c r="P56" s="720"/>
      <c r="Q56" s="720"/>
      <c r="R56" s="595"/>
      <c r="S56" s="595"/>
      <c r="T56" s="595"/>
      <c r="U56" s="595"/>
    </row>
    <row r="57" spans="1:21">
      <c r="A57" s="720"/>
      <c r="B57" s="720"/>
      <c r="C57" s="720"/>
      <c r="D57" s="720"/>
      <c r="E57" s="720"/>
      <c r="F57" s="720"/>
      <c r="G57" s="720"/>
      <c r="H57" s="720"/>
      <c r="I57" s="720"/>
      <c r="J57" s="720"/>
      <c r="K57" s="720"/>
      <c r="L57" s="720"/>
      <c r="M57" s="720"/>
      <c r="N57" s="720"/>
      <c r="O57" s="720"/>
      <c r="P57" s="720"/>
      <c r="Q57" s="720"/>
      <c r="R57" s="595"/>
      <c r="S57" s="595"/>
      <c r="T57" s="595"/>
      <c r="U57" s="595"/>
    </row>
    <row r="58" spans="1:21">
      <c r="A58" s="720"/>
      <c r="B58" s="720"/>
      <c r="C58" s="720"/>
      <c r="D58" s="720"/>
      <c r="E58" s="720"/>
      <c r="F58" s="720"/>
      <c r="G58" s="720"/>
      <c r="H58" s="720"/>
      <c r="I58" s="720"/>
      <c r="J58" s="720"/>
      <c r="K58" s="720"/>
      <c r="L58" s="720"/>
      <c r="M58" s="720"/>
      <c r="N58" s="720"/>
      <c r="O58" s="720"/>
      <c r="P58" s="720"/>
      <c r="Q58" s="720"/>
      <c r="R58" s="595"/>
      <c r="S58" s="595"/>
      <c r="T58" s="595"/>
      <c r="U58" s="595"/>
    </row>
    <row r="59" spans="1:21">
      <c r="A59" s="720"/>
      <c r="B59" s="720"/>
      <c r="C59" s="720"/>
      <c r="D59" s="720"/>
      <c r="E59" s="720"/>
      <c r="F59" s="720"/>
      <c r="G59" s="720"/>
      <c r="H59" s="720"/>
      <c r="I59" s="720"/>
      <c r="J59" s="720"/>
      <c r="K59" s="720"/>
      <c r="L59" s="720"/>
      <c r="M59" s="720"/>
      <c r="N59" s="720"/>
      <c r="O59" s="720"/>
      <c r="P59" s="720"/>
      <c r="Q59" s="720"/>
      <c r="R59" s="595"/>
      <c r="S59" s="595"/>
      <c r="T59" s="595"/>
      <c r="U59" s="595"/>
    </row>
    <row r="60" spans="1:21">
      <c r="A60" s="720"/>
      <c r="B60" s="720"/>
      <c r="C60" s="720"/>
      <c r="D60" s="720"/>
      <c r="E60" s="720"/>
      <c r="F60" s="720"/>
      <c r="G60" s="720"/>
      <c r="H60" s="720"/>
      <c r="I60" s="720"/>
      <c r="J60" s="720"/>
      <c r="K60" s="720"/>
      <c r="L60" s="720"/>
      <c r="M60" s="720"/>
      <c r="N60" s="720"/>
      <c r="O60" s="720"/>
      <c r="P60" s="720"/>
      <c r="Q60" s="720"/>
      <c r="R60" s="595"/>
      <c r="S60" s="595"/>
      <c r="T60" s="595"/>
      <c r="U60" s="595"/>
    </row>
    <row r="61" spans="1:21">
      <c r="A61" s="720"/>
      <c r="B61" s="720"/>
      <c r="C61" s="720"/>
      <c r="D61" s="720"/>
      <c r="E61" s="720"/>
      <c r="F61" s="720"/>
      <c r="G61" s="720"/>
      <c r="H61" s="720"/>
      <c r="I61" s="720"/>
      <c r="J61" s="720"/>
      <c r="K61" s="720"/>
      <c r="L61" s="720"/>
      <c r="M61" s="720"/>
      <c r="N61" s="720"/>
      <c r="O61" s="720"/>
      <c r="P61" s="720"/>
      <c r="Q61" s="720"/>
      <c r="R61" s="595"/>
      <c r="S61" s="595"/>
      <c r="T61" s="595"/>
      <c r="U61" s="595"/>
    </row>
    <row r="62" spans="1:21">
      <c r="A62" s="720"/>
      <c r="B62" s="720"/>
      <c r="C62" s="720"/>
      <c r="D62" s="720"/>
      <c r="E62" s="720"/>
      <c r="F62" s="720"/>
      <c r="G62" s="720"/>
      <c r="H62" s="720"/>
      <c r="I62" s="720"/>
      <c r="J62" s="720"/>
      <c r="K62" s="720"/>
      <c r="L62" s="720"/>
      <c r="M62" s="720"/>
      <c r="N62" s="720"/>
      <c r="O62" s="720"/>
      <c r="P62" s="720"/>
      <c r="Q62" s="720"/>
      <c r="R62" s="595"/>
      <c r="S62" s="595"/>
      <c r="T62" s="595"/>
      <c r="U62" s="595"/>
    </row>
    <row r="63" spans="1:21">
      <c r="A63" s="720"/>
      <c r="B63" s="720"/>
      <c r="C63" s="720"/>
      <c r="D63" s="720"/>
      <c r="E63" s="720"/>
      <c r="F63" s="720"/>
      <c r="G63" s="720"/>
      <c r="H63" s="720"/>
      <c r="I63" s="720"/>
      <c r="J63" s="720"/>
      <c r="K63" s="720"/>
      <c r="L63" s="720"/>
      <c r="M63" s="720"/>
      <c r="N63" s="720"/>
      <c r="O63" s="720"/>
      <c r="P63" s="720"/>
      <c r="Q63" s="720"/>
      <c r="R63" s="595"/>
      <c r="S63" s="595"/>
      <c r="T63" s="595"/>
      <c r="U63" s="595"/>
    </row>
    <row r="64" spans="1:21">
      <c r="A64" s="720"/>
      <c r="B64" s="720"/>
      <c r="C64" s="720"/>
      <c r="D64" s="720"/>
      <c r="E64" s="720"/>
      <c r="F64" s="720"/>
      <c r="G64" s="720"/>
      <c r="H64" s="720"/>
      <c r="I64" s="720"/>
      <c r="J64" s="720"/>
      <c r="K64" s="720"/>
      <c r="L64" s="720"/>
      <c r="M64" s="720"/>
      <c r="N64" s="720"/>
      <c r="O64" s="720"/>
      <c r="P64" s="720"/>
      <c r="Q64" s="720"/>
    </row>
    <row r="65" spans="1:17">
      <c r="A65" s="720"/>
      <c r="B65" s="720"/>
      <c r="C65" s="720"/>
      <c r="D65" s="720"/>
      <c r="E65" s="720"/>
      <c r="F65" s="720"/>
      <c r="G65" s="720"/>
      <c r="H65" s="720"/>
      <c r="I65" s="720"/>
      <c r="J65" s="720"/>
      <c r="K65" s="720"/>
      <c r="L65" s="720"/>
      <c r="M65" s="720"/>
      <c r="N65" s="720"/>
      <c r="O65" s="720"/>
      <c r="P65" s="720"/>
      <c r="Q65" s="720"/>
    </row>
    <row r="66" spans="1:17">
      <c r="A66" s="720"/>
      <c r="B66" s="720"/>
      <c r="C66" s="720"/>
      <c r="D66" s="720"/>
      <c r="E66" s="720"/>
      <c r="F66" s="720"/>
      <c r="G66" s="720"/>
      <c r="H66" s="720"/>
      <c r="I66" s="720"/>
      <c r="J66" s="720"/>
      <c r="K66" s="720"/>
      <c r="L66" s="720"/>
      <c r="M66" s="720"/>
      <c r="N66" s="720"/>
      <c r="O66" s="720"/>
      <c r="P66" s="720"/>
      <c r="Q66" s="720"/>
    </row>
    <row r="67" spans="1:17">
      <c r="A67" s="720"/>
      <c r="B67" s="720"/>
      <c r="C67" s="720"/>
      <c r="D67" s="720"/>
      <c r="E67" s="720"/>
      <c r="F67" s="720"/>
      <c r="G67" s="720"/>
      <c r="H67" s="720"/>
      <c r="I67" s="720"/>
      <c r="J67" s="720"/>
      <c r="K67" s="720"/>
      <c r="L67" s="720"/>
      <c r="M67" s="720"/>
      <c r="N67" s="720"/>
      <c r="O67" s="720"/>
      <c r="P67" s="720"/>
      <c r="Q67" s="720"/>
    </row>
    <row r="68" spans="1:17">
      <c r="A68" s="720"/>
      <c r="B68" s="720"/>
      <c r="C68" s="720"/>
      <c r="D68" s="720"/>
      <c r="E68" s="720"/>
      <c r="F68" s="720"/>
      <c r="G68" s="720"/>
      <c r="H68" s="720"/>
      <c r="I68" s="720"/>
      <c r="J68" s="720"/>
      <c r="K68" s="720"/>
      <c r="L68" s="720"/>
      <c r="M68" s="720"/>
      <c r="N68" s="720"/>
      <c r="O68" s="720"/>
      <c r="P68" s="720"/>
      <c r="Q68" s="720"/>
    </row>
    <row r="69" spans="1:17">
      <c r="A69" s="720"/>
      <c r="B69" s="720"/>
      <c r="C69" s="720"/>
      <c r="D69" s="720"/>
      <c r="E69" s="720"/>
      <c r="F69" s="720"/>
      <c r="G69" s="720"/>
      <c r="H69" s="720"/>
      <c r="I69" s="720"/>
      <c r="J69" s="720"/>
      <c r="K69" s="720"/>
      <c r="L69" s="720"/>
      <c r="M69" s="720"/>
      <c r="N69" s="720"/>
      <c r="O69" s="720"/>
      <c r="P69" s="720"/>
      <c r="Q69" s="720"/>
    </row>
    <row r="70" spans="1:17">
      <c r="A70" s="720"/>
      <c r="B70" s="720"/>
      <c r="C70" s="720"/>
      <c r="D70" s="720"/>
      <c r="E70" s="720"/>
      <c r="F70" s="720"/>
      <c r="G70" s="720"/>
      <c r="H70" s="720"/>
      <c r="I70" s="720"/>
      <c r="J70" s="720"/>
      <c r="K70" s="720"/>
      <c r="L70" s="720"/>
      <c r="M70" s="720"/>
      <c r="N70" s="720"/>
      <c r="O70" s="720"/>
      <c r="P70" s="720"/>
      <c r="Q70" s="720"/>
    </row>
    <row r="71" spans="1:17">
      <c r="A71" s="720"/>
      <c r="B71" s="720"/>
      <c r="C71" s="720"/>
      <c r="D71" s="720"/>
      <c r="E71" s="720"/>
      <c r="F71" s="720"/>
      <c r="G71" s="720"/>
      <c r="H71" s="720"/>
      <c r="I71" s="720"/>
      <c r="J71" s="720"/>
      <c r="K71" s="720"/>
      <c r="L71" s="720"/>
      <c r="M71" s="720"/>
      <c r="N71" s="720"/>
      <c r="O71" s="720"/>
      <c r="P71" s="720"/>
      <c r="Q71" s="720"/>
    </row>
    <row r="72" spans="1:17">
      <c r="A72" s="720"/>
      <c r="B72" s="720"/>
      <c r="C72" s="720"/>
      <c r="D72" s="720"/>
      <c r="E72" s="720"/>
      <c r="F72" s="720"/>
      <c r="G72" s="720"/>
      <c r="H72" s="720"/>
      <c r="I72" s="720"/>
      <c r="J72" s="720"/>
      <c r="K72" s="720"/>
      <c r="L72" s="720"/>
      <c r="M72" s="720"/>
      <c r="N72" s="720"/>
      <c r="O72" s="720"/>
      <c r="P72" s="720"/>
      <c r="Q72" s="720"/>
    </row>
    <row r="73" spans="1:17">
      <c r="A73" s="720"/>
      <c r="B73" s="720"/>
      <c r="C73" s="720"/>
      <c r="D73" s="720"/>
      <c r="E73" s="720"/>
      <c r="F73" s="720"/>
      <c r="G73" s="720"/>
      <c r="H73" s="720"/>
      <c r="I73" s="720"/>
      <c r="J73" s="720"/>
      <c r="K73" s="720"/>
      <c r="L73" s="720"/>
      <c r="M73" s="720"/>
      <c r="N73" s="720"/>
      <c r="O73" s="720"/>
      <c r="P73" s="720"/>
      <c r="Q73" s="720"/>
    </row>
    <row r="74" spans="1:17">
      <c r="A74" s="720"/>
      <c r="B74" s="720"/>
      <c r="C74" s="720"/>
      <c r="D74" s="720"/>
      <c r="E74" s="720"/>
      <c r="F74" s="720"/>
      <c r="G74" s="720"/>
      <c r="H74" s="720"/>
      <c r="I74" s="720"/>
      <c r="J74" s="720"/>
      <c r="K74" s="720"/>
      <c r="L74" s="720"/>
      <c r="M74" s="720"/>
      <c r="N74" s="720"/>
      <c r="O74" s="720"/>
      <c r="P74" s="720"/>
      <c r="Q74" s="720"/>
    </row>
    <row r="76" spans="1:17">
      <c r="A76" s="723" t="str">
        <f>Language!B438</f>
        <v xml:space="preserve">Acknowledgements </v>
      </c>
      <c r="B76" s="723"/>
      <c r="C76" s="723"/>
      <c r="D76" s="723"/>
      <c r="E76" s="723"/>
      <c r="F76" s="723"/>
      <c r="G76" s="723"/>
      <c r="H76" s="723"/>
      <c r="I76" s="723"/>
      <c r="J76" s="723"/>
      <c r="K76" s="723"/>
      <c r="L76" s="723"/>
      <c r="M76" s="723"/>
      <c r="N76" s="723"/>
      <c r="O76" s="723"/>
      <c r="P76" s="723"/>
      <c r="Q76" s="723"/>
    </row>
    <row r="77" spans="1:17" ht="103.5" customHeight="1">
      <c r="A77" s="719" t="str">
        <f>Language!B439</f>
        <v>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v>
      </c>
      <c r="B77" s="719"/>
      <c r="C77" s="719"/>
      <c r="D77" s="719"/>
      <c r="E77" s="719"/>
      <c r="F77" s="719"/>
      <c r="G77" s="719"/>
      <c r="H77" s="719"/>
      <c r="I77" s="719"/>
      <c r="J77" s="719"/>
      <c r="K77" s="719"/>
      <c r="L77" s="719"/>
      <c r="M77" s="719"/>
      <c r="N77" s="719"/>
      <c r="O77" s="719"/>
      <c r="P77" s="719"/>
      <c r="Q77" s="719"/>
    </row>
    <row r="78" spans="1:17">
      <c r="A78" s="722" t="str">
        <f>Language!B440</f>
        <v>Leadership and coordination</v>
      </c>
      <c r="B78" s="722"/>
      <c r="C78" s="722"/>
      <c r="D78" s="722"/>
      <c r="E78" s="722"/>
      <c r="F78" s="722"/>
      <c r="G78" s="722"/>
      <c r="H78" s="722"/>
      <c r="I78" s="722"/>
      <c r="J78" s="722"/>
      <c r="K78" s="722"/>
      <c r="L78" s="722"/>
      <c r="M78" s="722"/>
      <c r="N78" s="722"/>
      <c r="O78" s="722"/>
      <c r="P78" s="722"/>
      <c r="Q78" s="722"/>
    </row>
    <row r="79" spans="1:17" ht="93.75" customHeight="1">
      <c r="A79" s="719" t="str">
        <f>Language!B441</f>
        <v>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v>
      </c>
      <c r="B79" s="719"/>
      <c r="C79" s="719"/>
      <c r="D79" s="719"/>
      <c r="E79" s="719"/>
      <c r="F79" s="719"/>
      <c r="G79" s="719"/>
      <c r="H79" s="719"/>
      <c r="I79" s="719"/>
      <c r="J79" s="719"/>
      <c r="K79" s="719"/>
      <c r="L79" s="719"/>
      <c r="M79" s="719"/>
      <c r="N79" s="719"/>
      <c r="O79" s="719"/>
      <c r="P79" s="719"/>
      <c r="Q79" s="719"/>
    </row>
    <row r="80" spans="1:17">
      <c r="A80" s="722" t="str">
        <f>Language!B442</f>
        <v>Core technical team</v>
      </c>
      <c r="B80" s="722"/>
      <c r="C80" s="722"/>
      <c r="D80" s="722"/>
      <c r="E80" s="722"/>
      <c r="F80" s="722"/>
      <c r="G80" s="722"/>
      <c r="H80" s="722"/>
      <c r="I80" s="722"/>
      <c r="J80" s="722"/>
      <c r="K80" s="722"/>
      <c r="L80" s="722"/>
      <c r="M80" s="722"/>
      <c r="N80" s="722"/>
      <c r="O80" s="722"/>
      <c r="P80" s="722"/>
      <c r="Q80" s="722"/>
    </row>
    <row r="81" spans="1:17" ht="138" customHeight="1">
      <c r="A81" s="719" t="str">
        <f>Language!B443</f>
        <v>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v>
      </c>
      <c r="B81" s="719"/>
      <c r="C81" s="719"/>
      <c r="D81" s="719"/>
      <c r="E81" s="719"/>
      <c r="F81" s="719"/>
      <c r="G81" s="719"/>
      <c r="H81" s="719"/>
      <c r="I81" s="719"/>
      <c r="J81" s="719"/>
      <c r="K81" s="719"/>
      <c r="L81" s="719"/>
      <c r="M81" s="719"/>
      <c r="N81" s="719"/>
      <c r="O81" s="719"/>
      <c r="P81" s="719"/>
      <c r="Q81" s="719"/>
    </row>
    <row r="82" spans="1:17">
      <c r="A82" s="722" t="str">
        <f>Language!B444</f>
        <v>Contributors</v>
      </c>
      <c r="B82" s="722"/>
      <c r="C82" s="722"/>
      <c r="D82" s="722"/>
      <c r="E82" s="722"/>
      <c r="F82" s="722"/>
      <c r="G82" s="722"/>
      <c r="H82" s="722"/>
      <c r="I82" s="722"/>
      <c r="J82" s="722"/>
      <c r="K82" s="722"/>
      <c r="L82" s="722"/>
      <c r="M82" s="722"/>
      <c r="N82" s="722"/>
      <c r="O82" s="722"/>
      <c r="P82" s="722"/>
      <c r="Q82" s="722"/>
    </row>
    <row r="83" spans="1:17" ht="117" customHeight="1">
      <c r="A83" s="719" t="str">
        <f>Language!B445</f>
        <v>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v>
      </c>
      <c r="B83" s="719"/>
      <c r="C83" s="719"/>
      <c r="D83" s="719"/>
      <c r="E83" s="719"/>
      <c r="F83" s="719"/>
      <c r="G83" s="719"/>
      <c r="H83" s="719"/>
      <c r="I83" s="719"/>
      <c r="J83" s="719"/>
      <c r="K83" s="719"/>
      <c r="L83" s="719"/>
      <c r="M83" s="719"/>
      <c r="N83" s="719"/>
      <c r="O83" s="719"/>
      <c r="P83" s="719"/>
      <c r="Q83" s="719"/>
    </row>
    <row r="84" spans="1:17">
      <c r="A84" s="722" t="str">
        <f>Language!B446</f>
        <v>External reviewers</v>
      </c>
      <c r="B84" s="722"/>
      <c r="C84" s="722"/>
      <c r="D84" s="722"/>
      <c r="E84" s="722"/>
      <c r="F84" s="722"/>
      <c r="G84" s="722"/>
      <c r="H84" s="722"/>
      <c r="I84" s="722"/>
      <c r="J84" s="722"/>
      <c r="K84" s="722"/>
      <c r="L84" s="722"/>
      <c r="M84" s="722"/>
      <c r="N84" s="722"/>
      <c r="O84" s="722"/>
      <c r="P84" s="722"/>
      <c r="Q84" s="722"/>
    </row>
    <row r="85" spans="1:17" ht="409.5" customHeight="1">
      <c r="A85" s="719" t="str">
        <f>Language!B447</f>
        <v>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v>
      </c>
      <c r="B85" s="719"/>
      <c r="C85" s="719"/>
      <c r="D85" s="719"/>
      <c r="E85" s="719"/>
      <c r="F85" s="719"/>
      <c r="G85" s="719"/>
      <c r="H85" s="719"/>
      <c r="I85" s="719"/>
      <c r="J85" s="719"/>
      <c r="K85" s="719"/>
      <c r="L85" s="719"/>
      <c r="M85" s="719"/>
      <c r="N85" s="719"/>
      <c r="O85" s="719"/>
      <c r="P85" s="719"/>
      <c r="Q85" s="719"/>
    </row>
    <row r="86" spans="1:17" ht="180" customHeight="1">
      <c r="A86" s="719"/>
      <c r="B86" s="719"/>
      <c r="C86" s="719"/>
      <c r="D86" s="719"/>
      <c r="E86" s="719"/>
      <c r="F86" s="719"/>
      <c r="G86" s="719"/>
      <c r="H86" s="719"/>
      <c r="I86" s="719"/>
      <c r="J86" s="719"/>
      <c r="K86" s="719"/>
      <c r="L86" s="719"/>
      <c r="M86" s="719"/>
      <c r="N86" s="719"/>
      <c r="O86" s="719"/>
      <c r="P86" s="719"/>
      <c r="Q86" s="719"/>
    </row>
  </sheetData>
  <sheetProtection algorithmName="SHA-512" hashValue="ZuGawMUKoxM48/HfP7Nww1eJaToaYyL1B5Bp5eQNx1AVEYJAmXjbDeQ8YOK/rgeG5I845GW4CUZSy2AJfv3PUQ==" saltValue="RruEdyn4sCPhXr2ELgg4Rw==" spinCount="100000" sheet="1" objects="1" scenarios="1" formatColumns="0" formatRows="0"/>
  <mergeCells count="33">
    <mergeCell ref="A36:Q37"/>
    <mergeCell ref="A24:Q24"/>
    <mergeCell ref="A25:Q25"/>
    <mergeCell ref="A21:Q22"/>
    <mergeCell ref="A29:Q29"/>
    <mergeCell ref="A30:Q30"/>
    <mergeCell ref="A31:Q31"/>
    <mergeCell ref="A33:Q35"/>
    <mergeCell ref="A26:Q26"/>
    <mergeCell ref="A27:Q27"/>
    <mergeCell ref="A28:Q28"/>
    <mergeCell ref="A8:C8"/>
    <mergeCell ref="A13:Q13"/>
    <mergeCell ref="A17:Q17"/>
    <mergeCell ref="A15:Q15"/>
    <mergeCell ref="A20:Q20"/>
    <mergeCell ref="A14:Q14"/>
    <mergeCell ref="A16:Q16"/>
    <mergeCell ref="A18:Q18"/>
    <mergeCell ref="A12:Q12"/>
    <mergeCell ref="A38:Q40"/>
    <mergeCell ref="A44:Q74"/>
    <mergeCell ref="A43:Q43"/>
    <mergeCell ref="A84:Q84"/>
    <mergeCell ref="A85:Q86"/>
    <mergeCell ref="A76:Q76"/>
    <mergeCell ref="A77:Q77"/>
    <mergeCell ref="A78:Q78"/>
    <mergeCell ref="A79:Q79"/>
    <mergeCell ref="A80:Q80"/>
    <mergeCell ref="A81:Q81"/>
    <mergeCell ref="A82:Q82"/>
    <mergeCell ref="A83:Q83"/>
  </mergeCells>
  <hyperlinks>
    <hyperlink ref="A14" r:id="rId1" xr:uid="{8FCCB891-D1A1-407C-9FF0-115738576212}"/>
    <hyperlink ref="A18" r:id="rId2" xr:uid="{3C8D8E64-00E7-46CF-A64B-50F9BF284144}"/>
  </hyperlinks>
  <pageMargins left="0.7" right="0.7" top="0.75" bottom="0.75" header="0.3" footer="0.3"/>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71E7D2-3252-4A42-8BF8-7108B2EC123F}">
          <x14:formula1>
            <xm:f>'Annex1_Library Prep'!$V$5:$V$8</xm:f>
          </x14:formula1>
          <xm:sqref>D8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52"/>
  <sheetViews>
    <sheetView topLeftCell="A26" zoomScale="110" zoomScaleNormal="110" workbookViewId="0">
      <selection activeCell="G25" sqref="G25"/>
    </sheetView>
  </sheetViews>
  <sheetFormatPr defaultColWidth="8.41796875" defaultRowHeight="14.4" outlineLevelCol="1"/>
  <cols>
    <col min="1" max="1" width="5.68359375" customWidth="1"/>
    <col min="2" max="2" width="53.15625" customWidth="1"/>
    <col min="3" max="3" width="63.41796875" style="13" customWidth="1"/>
    <col min="4" max="4" width="28.41796875" customWidth="1"/>
    <col min="5" max="5" width="48.41796875" customWidth="1" outlineLevel="1"/>
    <col min="6" max="6" width="63.41796875" customWidth="1" outlineLevel="1"/>
    <col min="7" max="7" width="28.15625" customWidth="1" outlineLevel="1"/>
    <col min="8" max="8" width="66.26171875" customWidth="1"/>
    <col min="9" max="10" width="22.83984375" customWidth="1"/>
  </cols>
  <sheetData>
    <row r="2" spans="2:7">
      <c r="C2"/>
    </row>
    <row r="3" spans="2:7" ht="14.7" thickBot="1"/>
    <row r="4" spans="2:7" ht="14.7" thickBot="1">
      <c r="B4" s="740" t="str">
        <f>Language!$B$5</f>
        <v>Genomics costing tool, second edition</v>
      </c>
      <c r="C4" s="741"/>
      <c r="D4" s="741"/>
      <c r="E4" s="741"/>
      <c r="F4" s="741"/>
      <c r="G4" s="741"/>
    </row>
    <row r="6" spans="2:7">
      <c r="B6" s="742" t="str">
        <f>Language!$B$6</f>
        <v>User inputs</v>
      </c>
      <c r="C6" s="743"/>
      <c r="D6" s="743"/>
      <c r="E6" s="743"/>
      <c r="F6" s="743"/>
      <c r="G6" s="743"/>
    </row>
    <row r="7" spans="2:7" ht="33" customHeight="1" thickBot="1">
      <c r="C7" s="340"/>
    </row>
    <row r="8" spans="2:7" ht="30" customHeight="1">
      <c r="B8" s="332" t="str">
        <f>Language!$B$7</f>
        <v>Name of the laboratory</v>
      </c>
      <c r="C8" s="338"/>
      <c r="E8" s="453"/>
      <c r="F8" s="454"/>
    </row>
    <row r="9" spans="2:7" ht="27.75" customHeight="1">
      <c r="B9" s="333" t="str">
        <f>Language!$B$8</f>
        <v>Country</v>
      </c>
      <c r="C9" s="339"/>
      <c r="E9" s="453"/>
      <c r="F9" s="454"/>
    </row>
    <row r="10" spans="2:7" ht="15" customHeight="1" thickBot="1">
      <c r="B10" s="337" t="str">
        <f>Language!$B$9</f>
        <v>Year</v>
      </c>
      <c r="C10" s="450"/>
    </row>
    <row r="11" spans="2:7" ht="15" customHeight="1">
      <c r="D11" s="394"/>
    </row>
    <row r="12" spans="2:7" ht="15" customHeight="1" thickBot="1">
      <c r="B12" s="746" t="str">
        <f>Language!B362</f>
        <v>Sequencer 1</v>
      </c>
      <c r="C12" s="747"/>
      <c r="D12" s="147"/>
      <c r="E12" s="746" t="str">
        <f>Language!B363</f>
        <v>Sequencer 2</v>
      </c>
      <c r="F12" s="747"/>
      <c r="G12" s="147"/>
    </row>
    <row r="13" spans="2:7" ht="15" customHeight="1">
      <c r="B13" s="547" t="str">
        <f>Language!$B$341</f>
        <v>Pathogen type</v>
      </c>
      <c r="C13" s="596" t="s">
        <v>68</v>
      </c>
      <c r="D13" s="147"/>
      <c r="E13" s="547" t="str">
        <f>Language!$B$341</f>
        <v>Pathogen type</v>
      </c>
      <c r="F13" s="596" t="s">
        <v>68</v>
      </c>
      <c r="G13" s="147"/>
    </row>
    <row r="14" spans="2:7" ht="15" customHeight="1">
      <c r="B14" s="333" t="str">
        <f>Language!$B$12</f>
        <v>Pathogen</v>
      </c>
      <c r="C14" s="598" t="s">
        <v>2312</v>
      </c>
      <c r="D14" s="147"/>
      <c r="E14" s="333" t="str">
        <f>Language!$B$12</f>
        <v>Pathogen</v>
      </c>
      <c r="F14" s="598" t="s">
        <v>651</v>
      </c>
      <c r="G14" s="147"/>
    </row>
    <row r="15" spans="2:7" ht="37.5" customHeight="1">
      <c r="B15" s="333" t="str">
        <f>Language!$B$342</f>
        <v>Genome size (in Mb)</v>
      </c>
      <c r="C15" s="609">
        <f>IFERROR(VLOOKUP($C$14, 'Annex4_Coverage Sample Calc'!$C$27:'Annex4_Coverage Sample Calc'!$G$44,4,FALSE),"Enter value")</f>
        <v>4.8</v>
      </c>
      <c r="D15" s="147" t="str">
        <f>IF($C$13='Annex1_Library Prep'!W7,Language!B381,IF($C$15='Annex4_Coverage Sample Calc'!F39,Language!B378,""))</f>
        <v/>
      </c>
      <c r="E15" s="333" t="str">
        <f>Language!$B$342</f>
        <v>Genome size (in Mb)</v>
      </c>
      <c r="F15" s="609">
        <f>IFERROR(VLOOKUP($F$14, 'Annex4_Coverage Sample Calc'!$C$27:'Annex4_Coverage Sample Calc'!$G$44,4,FALSE),"Enter value")</f>
        <v>5</v>
      </c>
      <c r="G15" s="147" t="str">
        <f>IF($F$13='Annex1_Library Prep'!W7,Language!B381,IF($F$15='Annex4_Coverage Sample Calc'!F39,Language!B378,""))</f>
        <v/>
      </c>
    </row>
    <row r="16" spans="2:7" ht="15" customHeight="1">
      <c r="B16" s="333" t="str">
        <f>Language!$B$14</f>
        <v>Estimated number of samples per year</v>
      </c>
      <c r="C16" s="582">
        <v>500</v>
      </c>
      <c r="D16" s="147"/>
      <c r="E16" s="333" t="str">
        <f>Language!$B$14</f>
        <v>Estimated number of samples per year</v>
      </c>
      <c r="F16" s="582">
        <v>300</v>
      </c>
      <c r="G16" s="147"/>
    </row>
    <row r="17" spans="1:7" ht="15" customHeight="1">
      <c r="B17" s="333" t="str">
        <f>Language!$B$15</f>
        <v>Next-generation sequencing platform</v>
      </c>
      <c r="C17" s="598" t="s">
        <v>326</v>
      </c>
      <c r="D17" s="147"/>
      <c r="E17" s="333" t="str">
        <f>Language!$B$15</f>
        <v>Next-generation sequencing platform</v>
      </c>
      <c r="F17" s="598" t="s">
        <v>336</v>
      </c>
      <c r="G17" s="147"/>
    </row>
    <row r="18" spans="1:7" ht="25.5" customHeight="1">
      <c r="B18" s="333" t="str">
        <f>Language!$B$16</f>
        <v>Sequencing reagents</v>
      </c>
      <c r="C18" s="600" t="s">
        <v>402</v>
      </c>
      <c r="D18" s="147" t="str">
        <f>IFERROR(IF($C$18='Annex3_Reagents and Consumables'!N2,Language!$B$359,IF(MATCH($C$18,'Annex3_Reagents and Consumables'!B42:B58,0),Language!B361,"")),"")</f>
        <v/>
      </c>
      <c r="E18" s="333" t="str">
        <f>Language!$B$16</f>
        <v>Sequencing reagents</v>
      </c>
      <c r="F18" s="600" t="s">
        <v>378</v>
      </c>
      <c r="G18" s="147" t="str">
        <f>IFERROR(IF($F$18='Annex3_Reagents and Consumables'!O2,Language!$B$359,IF(MATCH($F$18,'Annex3_Reagents and Consumables'!B42:B58,0),Language!B361,"")),"")</f>
        <v>Enter required reagent specifications in rows 38–40 below</v>
      </c>
    </row>
    <row r="19" spans="1:7" ht="27" customHeight="1">
      <c r="B19" s="333" t="str">
        <f>Language!$B$343</f>
        <v>Sequencing coverage</v>
      </c>
      <c r="C19" s="609">
        <f>IFERROR(VLOOKUP($C$14, 'Annex4_Coverage Sample Calc'!$C$27:'Annex4_Coverage Sample Calc'!$G$45,5,FALSE),"Enter value")</f>
        <v>50</v>
      </c>
      <c r="D19" s="147" t="str">
        <f>IF($C$13='Annex1_Library Prep'!W7,Language!B397, IF($C$19='Annex4_Coverage Sample Calc'!G39,Language!B379,""))</f>
        <v/>
      </c>
      <c r="E19" s="333" t="str">
        <f>Language!$B$343</f>
        <v>Sequencing coverage</v>
      </c>
      <c r="F19" s="609">
        <f>IFERROR(VLOOKUP($F$14, 'Annex4_Coverage Sample Calc'!$C$27:'Annex4_Coverage Sample Calc'!$G$44,5,FALSE),"Enter value")</f>
        <v>50</v>
      </c>
      <c r="G19" s="147" t="str">
        <f>IF($F$13='Annex1_Library Prep'!W7,Language!B397, IF($F$19='Annex4_Coverage Sample Calc'!G39,Language!B379,""))</f>
        <v/>
      </c>
    </row>
    <row r="20" spans="1:7" ht="27" customHeight="1">
      <c r="B20" s="363" t="str">
        <f>Language!B398</f>
        <v>Buffer capacity accounting for off-target reads (unusable reads) (in %)</v>
      </c>
      <c r="C20" s="610">
        <f>IF(C13='Annex1_Library Prep'!W5,0.2,IF(C13='Annex1_Library Prep'!W6,0.3,IF(C13='Annex1_Library Prep'!W7,0,0.2)))</f>
        <v>0.3</v>
      </c>
      <c r="D20" s="147"/>
      <c r="E20" s="363" t="str">
        <f>Language!B398</f>
        <v>Buffer capacity accounting for off-target reads (unusable reads) (in %)</v>
      </c>
      <c r="F20" s="610">
        <f>IF(F13='Annex1_Library Prep'!W5,0.2,IF(F13='Annex1_Library Prep'!W6,0.3,IF(F13='Annex1_Library Prep'!W7,0,0.2)))</f>
        <v>0.3</v>
      </c>
      <c r="G20" s="147"/>
    </row>
    <row r="21" spans="1:7" ht="31.5" customHeight="1">
      <c r="B21" s="334" t="str">
        <f>Language!$B$22</f>
        <v>Library preparation/index kit</v>
      </c>
      <c r="C21" s="599" t="s">
        <v>112</v>
      </c>
      <c r="D21" s="147" t="str">
        <f>IF($C$21='Annex1_Library Prep'!P4,Language!$B$360,"")</f>
        <v/>
      </c>
      <c r="E21" s="334" t="str">
        <f>Language!$B$22</f>
        <v>Library preparation/index kit</v>
      </c>
      <c r="F21" s="599" t="s">
        <v>61</v>
      </c>
      <c r="G21" s="147" t="str">
        <f>IF($F$21='Annex1_Library Prep'!T4,Language!$B$360,"")</f>
        <v>Enter required reagent specifications in rows 36–37 below</v>
      </c>
    </row>
    <row r="22" spans="1:7" ht="16.5" customHeight="1">
      <c r="B22" s="363" t="str">
        <f>Language!$B$332</f>
        <v>Enrichment protocol used (Y/N)</v>
      </c>
      <c r="C22" s="598" t="s">
        <v>3</v>
      </c>
      <c r="D22" s="147"/>
      <c r="E22" s="363" t="str">
        <f>Language!$B$332</f>
        <v>Enrichment protocol used (Y/N)</v>
      </c>
      <c r="F22" s="598" t="s">
        <v>3</v>
      </c>
      <c r="G22" s="147"/>
    </row>
    <row r="23" spans="1:7" ht="36.75" customHeight="1">
      <c r="B23" s="334" t="str">
        <f>Language!$B$24</f>
        <v>Sample retests (sequencing) (%)</v>
      </c>
      <c r="C23" s="700">
        <v>0.05</v>
      </c>
      <c r="D23" s="147"/>
      <c r="E23" s="335" t="str">
        <f>Language!$B$24</f>
        <v>Sample retests (sequencing) (%)</v>
      </c>
      <c r="F23" s="700">
        <v>0.02</v>
      </c>
      <c r="G23" s="147"/>
    </row>
    <row r="24" spans="1:7" ht="51" customHeight="1">
      <c r="B24" s="581" t="str">
        <f>Language!$B$17</f>
        <v>Maximum number of samples per flow cell 
(within library preparation barcoding limit)</v>
      </c>
      <c r="C24" s="583">
        <f>IF('Annex4_Coverage Sample Calc'!$C$19&gt;=0,'Annex4_Coverage Sample Calc'!$C$19,0)</f>
        <v>12</v>
      </c>
      <c r="D24" s="147" t="str">
        <f>IF($C$14='Annex4_Coverage Sample Calc'!C41,Language!B380,"")</f>
        <v/>
      </c>
      <c r="E24" s="581" t="str">
        <f>Language!$B$17</f>
        <v>Maximum number of samples per flow cell 
(within library preparation barcoding limit)</v>
      </c>
      <c r="F24" s="583">
        <f>IF('Annex4_Coverage Sample Calc'!$D$19&gt;=0,'Annex4_Coverage Sample Calc'!$D$19,0)</f>
        <v>16</v>
      </c>
      <c r="G24" s="147" t="str">
        <f>IF($F$14='Annex4_Coverage Sample Calc'!C41,Language!B380,"")</f>
        <v/>
      </c>
    </row>
    <row r="25" spans="1:7" ht="33" customHeight="1">
      <c r="A25" s="8"/>
      <c r="B25" s="361" t="str">
        <f>Language!B347</f>
        <v>Number of sequencing runs per year (maximum loading capacity)</v>
      </c>
      <c r="C25" s="584">
        <f>'Annex4_Coverage Sample Calc'!$C$20</f>
        <v>44</v>
      </c>
      <c r="D25" s="147" t="str">
        <f>IF($C$25&gt;52,Language!$B$348,"")</f>
        <v/>
      </c>
      <c r="E25" s="361" t="str">
        <f>Language!B347</f>
        <v>Number of sequencing runs per year (maximum loading capacity)</v>
      </c>
      <c r="F25" s="584">
        <f>'Annex4_Coverage Sample Calc'!$D$20</f>
        <v>20</v>
      </c>
      <c r="G25" s="147" t="str">
        <f>IF($F$25&gt;52,Language!$B$348,"")</f>
        <v/>
      </c>
    </row>
    <row r="26" spans="1:7" ht="62.25" customHeight="1">
      <c r="B26" s="334" t="str">
        <f>Language!$B$334</f>
        <v>Average number of samples per run (average loading)</v>
      </c>
      <c r="C26" s="582">
        <v>10</v>
      </c>
      <c r="D26" s="147" t="str">
        <f>IF($C$26&gt;$C$24,Language!$B$333,"")</f>
        <v/>
      </c>
      <c r="E26" s="334" t="str">
        <f>Language!$B$334</f>
        <v>Average number of samples per run (average loading)</v>
      </c>
      <c r="F26" s="582">
        <v>15</v>
      </c>
      <c r="G26" s="147" t="str">
        <f>IF($F$26&gt;$F$24,Language!$B$333,"")</f>
        <v/>
      </c>
    </row>
    <row r="27" spans="1:7" ht="33" customHeight="1">
      <c r="B27" s="334" t="str">
        <f>Language!$B$337</f>
        <v>Average number of controls per run</v>
      </c>
      <c r="C27" s="637">
        <v>2</v>
      </c>
      <c r="D27" s="147"/>
      <c r="E27" s="334" t="str">
        <f>Language!$B$337</f>
        <v>Average number of controls per run</v>
      </c>
      <c r="F27" s="637">
        <v>2</v>
      </c>
      <c r="G27" s="147"/>
    </row>
    <row r="28" spans="1:7" ht="28.5" customHeight="1">
      <c r="B28" s="334" t="str">
        <f>Language!$B$338</f>
        <v>Number of sequencing runs per year (average loading)</v>
      </c>
      <c r="C28" s="585">
        <f>IFERROR(ROUNDUP(('Data entry'!$C$16+'Data entry'!$C$16*'Data entry'!$C$23)/$C$26,0),0)</f>
        <v>53</v>
      </c>
      <c r="D28" s="147" t="str">
        <f>IF(
   OR(
      AND(OR(C17=Annex2_Equipment!C10, C17=Annex2_Equipment!C15, C17=Annex2_Equipment!C18, C17=Annex2_Equipment!C19, C17=Annex2_Equipment!C21, C17=Annex2_Equipment!C23), C28&gt;104),
      AND(C17=Annex2_Equipment!C14, C28&gt;260),
      AND(C17=Annex2_Equipment!C16, C28&gt;1248),
      AND(NOT(OR(
         C17=Annex2_Equipment!C10, C17=Annex2_Equipment!C15, C17=Annex2_Equipment!C18, C17=Annex2_Equipment!C19, C17=Annex2_Equipment!C21, C17=Annex2_Equipment!C23,
         C17=Annex2_Equipment!C14, C17=Annex2_Equipment!C16
      )), C28&gt;52)
   ),
   Language!$B$348,
   ""
)</f>
        <v>Consider higher throughput sequencing items</v>
      </c>
      <c r="E28" s="334" t="str">
        <f>Language!$B$338</f>
        <v>Number of sequencing runs per year (average loading)</v>
      </c>
      <c r="F28" s="585">
        <f>IFERROR(ROUNDUP(('Data entry'!$F$16+'Data entry'!$F$16*'Data entry'!$F$23)/$F$26,0),0)</f>
        <v>21</v>
      </c>
      <c r="G28" s="147" t="str">
        <f>IF(
   OR(
      AND(OR(F17=Annex2_Equipment!C10, F17=Annex2_Equipment!C15, F17=Annex2_Equipment!C18, F17=Annex2_Equipment!C19, F17=Annex2_Equipment!C21, F17=Annex2_Equipment!C23), F28&gt;104),
      AND(F17=Annex2_Equipment!C14, F28&gt;260),
      AND(F17=Annex2_Equipment!C16, F28&gt;1248),
      AND(NOT(OR(
         F17=Annex2_Equipment!C10, F17=Annex2_Equipment!C15, F17=Annex2_Equipment!C18, F17=Annex2_Equipment!C19, F17=Annex2_Equipment!C21, F17=Annex2_Equipment!C23,
         F17=Annex2_Equipment!C14, F17=Annex2_Equipment!C16
      )), F28&gt;52)
   ),
   Language!$B$348,
   ""
)</f>
        <v/>
      </c>
    </row>
    <row r="29" spans="1:7" ht="32.25" customHeight="1" thickBot="1">
      <c r="B29" s="337" t="str">
        <f>Language!$B$339</f>
        <v>% sequencer loading capacity per run (average loading)</v>
      </c>
      <c r="C29" s="586">
        <f>IFERROR($C$26/$C$24,0)</f>
        <v>0.83333333333333337</v>
      </c>
      <c r="D29" s="360" t="str">
        <f>IF(C$29=0,"",IF($C$29&lt;=0.5,Language!$B$331,IF($C$29&gt;1,Language!$B$335,"")))</f>
        <v/>
      </c>
      <c r="E29" s="337" t="str">
        <f>Language!$B$339</f>
        <v>% sequencer loading capacity per run (average loading)</v>
      </c>
      <c r="F29" s="586">
        <f>IFERROR($F$26/$F$24,0)</f>
        <v>0.9375</v>
      </c>
      <c r="G29" s="360" t="str">
        <f>IF(F$29=0,"",IF($F$29&lt;=0.5,Language!$B$331,IF($F$29&gt;1,Language!$B$335,"")))</f>
        <v/>
      </c>
    </row>
    <row r="30" spans="1:7" ht="14.7" thickBot="1">
      <c r="D30" s="147"/>
      <c r="G30" s="147"/>
    </row>
    <row r="31" spans="1:7" ht="28.8">
      <c r="B31" s="748" t="str">
        <f>Language!$B$365</f>
        <v>Inputs applied to both sequencing devices</v>
      </c>
      <c r="C31" s="749"/>
      <c r="D31" s="147"/>
      <c r="E31" s="547" t="str">
        <f>Language!$B$364</f>
        <v>Total number of reactions across two sequencers (including retests)</v>
      </c>
      <c r="F31" s="590">
        <f>ROUNDUP('Data entry'!$C$16+'Data entry'!$C$16*'Data entry'!$C$23+'Data entry'!$F$16+'Data entry'!$F$16*'Data entry'!$F$23,0)</f>
        <v>831</v>
      </c>
      <c r="G31" s="147"/>
    </row>
    <row r="32" spans="1:7" ht="34.5" customHeight="1" thickBot="1">
      <c r="B32" s="336" t="str">
        <f>Language!$B$23</f>
        <v>Bioinformatics</v>
      </c>
      <c r="C32" s="597" t="s">
        <v>76</v>
      </c>
      <c r="D32" s="147"/>
      <c r="E32" s="337" t="str">
        <f>Language!B400</f>
        <v>Total number of samples sequenced across both sequencers</v>
      </c>
      <c r="F32" s="591">
        <f>C16+F16</f>
        <v>800</v>
      </c>
      <c r="G32" s="147"/>
    </row>
    <row r="33" spans="2:7">
      <c r="B33" s="334" t="str">
        <f>Language!B353</f>
        <v>Dead volume for library preparation handler in % (if used)</v>
      </c>
      <c r="C33" s="700"/>
      <c r="D33" s="147"/>
      <c r="G33" s="147"/>
    </row>
    <row r="34" spans="2:7" ht="32.25" customHeight="1" thickBot="1">
      <c r="D34" s="147"/>
      <c r="G34" s="147"/>
    </row>
    <row r="35" spans="2:7" ht="14.25" customHeight="1" thickBot="1">
      <c r="B35" s="744" t="str">
        <f>Language!$B$366</f>
        <v>Additional required specifications for selected sequencing and library preparation items</v>
      </c>
      <c r="C35" s="745"/>
      <c r="D35" s="147"/>
      <c r="E35" s="744" t="str">
        <f>Language!$B$366</f>
        <v>Additional required specifications for selected sequencing and library preparation items</v>
      </c>
      <c r="F35" s="745"/>
      <c r="G35" s="147"/>
    </row>
    <row r="36" spans="2:7" ht="48.75" customHeight="1" thickBot="1">
      <c r="B36" s="509" t="str">
        <f>Language!B354</f>
        <v>Maximum number of barcodes available for your library preparation kit (e.g. 16, 24, 96, 384, 768)</v>
      </c>
      <c r="C36" s="532"/>
      <c r="D36" s="739" t="str">
        <f>IF(C21='Annex1_Library Prep'!P4,Language!B437,"")</f>
        <v/>
      </c>
      <c r="E36" s="509" t="str">
        <f>Language!B354</f>
        <v>Maximum number of barcodes available for your library preparation kit (e.g. 16, 24, 96, 384, 768)</v>
      </c>
      <c r="F36" s="532">
        <v>384</v>
      </c>
      <c r="G36" s="738" t="str">
        <f>IF(F21='Annex1_Library Prep'!T4,Language!B437,"")</f>
        <v>The number of barcodes is equivalent to the number of samples as per the instruction for use (where available)</v>
      </c>
    </row>
    <row r="37" spans="2:7" ht="22.5" customHeight="1" thickBot="1">
      <c r="B37" s="509" t="str">
        <f>Language!B358</f>
        <v>Number of barcodes per pack</v>
      </c>
      <c r="C37" s="532"/>
      <c r="D37" s="739"/>
      <c r="E37" s="509" t="str">
        <f>Language!B358</f>
        <v>Number of barcodes per pack</v>
      </c>
      <c r="F37" s="532">
        <v>96</v>
      </c>
      <c r="G37" s="738"/>
    </row>
    <row r="38" spans="2:7" ht="37.5" customHeight="1" thickBot="1">
      <c r="B38" s="509" t="str">
        <f>Language!B355</f>
        <v>Maximum output of the flow cell in bytes (e.g. 1.2 GB is 1200000000 b (1.2*10^9))</v>
      </c>
      <c r="C38" s="532"/>
      <c r="D38" s="147"/>
      <c r="E38" s="509" t="str">
        <f>Language!B355</f>
        <v>Maximum output of the flow cell in bytes (e.g. 1.2 GB is 1200000000 b (1.2*10^9))</v>
      </c>
      <c r="F38" s="860">
        <v>180000000000</v>
      </c>
      <c r="G38" s="147"/>
    </row>
    <row r="39" spans="2:7" ht="35.25" customHeight="1" thickBot="1">
      <c r="B39" s="509" t="str">
        <f>Language!B356</f>
        <v>Read length for your sequencing reagent kit (in bp)</v>
      </c>
      <c r="C39" s="532"/>
      <c r="D39" s="147"/>
      <c r="E39" s="509" t="str">
        <f>Language!B356</f>
        <v>Read length for your sequencing reagent kit (in bp)</v>
      </c>
      <c r="F39" s="532">
        <v>10000</v>
      </c>
      <c r="G39" s="147"/>
    </row>
    <row r="40" spans="2:7" ht="36.75" customHeight="1" thickBot="1">
      <c r="B40" s="509" t="str">
        <f>Language!B357</f>
        <v>Number of sequencing kit packs needed per one run</v>
      </c>
      <c r="C40" s="532"/>
      <c r="D40" s="147"/>
      <c r="E40" s="509" t="str">
        <f>Language!B357</f>
        <v>Number of sequencing kit packs needed per one run</v>
      </c>
      <c r="F40" s="532">
        <v>1</v>
      </c>
      <c r="G40" s="147"/>
    </row>
    <row r="41" spans="2:7" ht="29.1" thickBot="1">
      <c r="B41" s="509" t="str">
        <f>Language!B393</f>
        <v>Enter number of single reads per sample as recommended by the manufacturer (e.g. if 1M reads, enter 1000000)</v>
      </c>
      <c r="C41" s="639">
        <v>1000000</v>
      </c>
      <c r="E41" s="509" t="str">
        <f>Language!B393</f>
        <v>Enter number of single reads per sample as recommended by the manufacturer (e.g. if 1M reads, enter 1000000)</v>
      </c>
      <c r="F41" s="638">
        <v>1000000</v>
      </c>
    </row>
    <row r="43" spans="2:7">
      <c r="C43" s="15"/>
    </row>
    <row r="44" spans="2:7">
      <c r="B44" s="3" t="str">
        <f>Language!B41</f>
        <v>Key:</v>
      </c>
    </row>
    <row r="45" spans="2:7">
      <c r="B45" s="641" t="str">
        <f>Language!$B$247</f>
        <v>Fixed titles and totals</v>
      </c>
    </row>
    <row r="46" spans="2:7">
      <c r="B46" s="642" t="str">
        <f>Language!$B$248</f>
        <v>General information and legends</v>
      </c>
    </row>
    <row r="47" spans="2:7">
      <c r="B47" s="643" t="str">
        <f>Language!$B$44</f>
        <v>Fixed or formula (cannot be edited)</v>
      </c>
    </row>
    <row r="48" spans="2:7">
      <c r="B48" s="644" t="str">
        <f>Language!$B$43</f>
        <v>Select from drop-down options</v>
      </c>
    </row>
    <row r="49" spans="2:2">
      <c r="B49" s="645" t="str">
        <f>Language!$B$42</f>
        <v>Fillable (free text)</v>
      </c>
    </row>
    <row r="50" spans="2:2" ht="48" customHeight="1">
      <c r="B50" s="646" t="str">
        <f>Language!$B$412</f>
        <v>Prefilled data (contains free text) – edit information or value if necessary (will not affect calculation/formulas)</v>
      </c>
    </row>
    <row r="51" spans="2:2" ht="45.75" customHeight="1">
      <c r="B51" s="640" t="str">
        <f>Language!$B$45</f>
        <v>Prefilled data (contains formulas) – edit information or value if necessary/with caution (formula will be deleted)</v>
      </c>
    </row>
    <row r="52" spans="2:2">
      <c r="B52" s="669" t="str">
        <f>Language!$B$409</f>
        <v>A cell that had contained a formula, which was deleted by the user</v>
      </c>
    </row>
  </sheetData>
  <sheetProtection algorithmName="SHA-512" hashValue="kDYMGzJtp8zUUEpGYr0ipR1MZaQXQG09PpWxhMmYIjgzcPVLr+EjbDA8EFc5ymL3/1E+EjQkCoI+KXVhonL2pA==" saltValue="zuTexx2pXDMqVilj90+8hw==" spinCount="100000" sheet="1" objects="1" scenarios="1" formatColumns="0" formatRows="0"/>
  <mergeCells count="9">
    <mergeCell ref="G36:G37"/>
    <mergeCell ref="D36:D37"/>
    <mergeCell ref="B4:G4"/>
    <mergeCell ref="B6:G6"/>
    <mergeCell ref="E35:F35"/>
    <mergeCell ref="B35:C35"/>
    <mergeCell ref="B12:C12"/>
    <mergeCell ref="E12:F12"/>
    <mergeCell ref="B31:C31"/>
  </mergeCells>
  <conditionalFormatting sqref="C15 F15 C19:C20 F19:F20">
    <cfRule type="expression" dxfId="13" priority="3">
      <formula>NOT(_xlfn.ISFORMULA(C15))</formula>
    </cfRule>
  </conditionalFormatting>
  <dataValidations count="1">
    <dataValidation type="whole" operator="greaterThan" allowBlank="1" showInputMessage="1" showErrorMessage="1" sqref="F26 C26" xr:uid="{FFBDCB4D-EAB6-4EA6-A117-C0164043771C}">
      <formula1>0</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3" id="{1A42C497-8950-4CE4-A7DC-7403635B7E93}">
            <xm:f>$C$21&lt;&gt;'Annex1_Library Prep'!$P$4</xm:f>
            <x14:dxf>
              <fill>
                <patternFill>
                  <bgColor theme="1"/>
                </patternFill>
              </fill>
            </x14:dxf>
          </x14:cfRule>
          <xm:sqref>B35 B36:C37</xm:sqref>
        </x14:conditionalFormatting>
        <x14:conditionalFormatting xmlns:xm="http://schemas.microsoft.com/office/excel/2006/main">
          <x14:cfRule type="expression" priority="21" id="{35FFCA8E-FB95-49CB-A280-9049582E977C}">
            <xm:f>$C$18&lt;&gt;'Annex3_Reagents and Consumables'!$N$2</xm:f>
            <x14:dxf>
              <fill>
                <patternFill>
                  <bgColor theme="1"/>
                </patternFill>
              </fill>
            </x14:dxf>
          </x14:cfRule>
          <xm:sqref>B38:C38</xm:sqref>
        </x14:conditionalFormatting>
        <x14:conditionalFormatting xmlns:xm="http://schemas.microsoft.com/office/excel/2006/main">
          <x14:cfRule type="expression" priority="18" id="{06CC4778-98C7-4123-9774-BCF2F314B9BB}">
            <xm:f>AND($C$18&lt;&gt;'Annex3_Reagents and Consumables'!$N$2, ISNA(MATCH($C$18, 'Annex3_Reagents and Consumables'!$B$42:$B$58, 0)))</xm:f>
            <x14:dxf>
              <fill>
                <patternFill>
                  <bgColor theme="1"/>
                </patternFill>
              </fill>
            </x14:dxf>
          </x14:cfRule>
          <xm:sqref>B39:C39</xm:sqref>
        </x14:conditionalFormatting>
        <x14:conditionalFormatting xmlns:xm="http://schemas.microsoft.com/office/excel/2006/main">
          <x14:cfRule type="expression" priority="20" id="{ADB2E6B3-9FD9-4310-BD63-75F57E8CB259}">
            <xm:f>$C$18&lt;&gt;'Annex3_Reagents and Consumables'!$N$2</xm:f>
            <x14:dxf>
              <fill>
                <patternFill>
                  <bgColor theme="1"/>
                </patternFill>
              </fill>
            </x14:dxf>
          </x14:cfRule>
          <xm:sqref>B40:C40</xm:sqref>
        </x14:conditionalFormatting>
        <x14:conditionalFormatting xmlns:xm="http://schemas.microsoft.com/office/excel/2006/main">
          <x14:cfRule type="expression" priority="6" id="{B1A06D5A-43C3-4569-8A78-290F32ECDC04}">
            <xm:f>$C$13&lt;&gt;'Annex1_Library Prep'!$W$7</xm:f>
            <x14:dxf>
              <fill>
                <patternFill>
                  <bgColor theme="1"/>
                </patternFill>
              </fill>
            </x14:dxf>
          </x14:cfRule>
          <xm:sqref>B41:C41</xm:sqref>
        </x14:conditionalFormatting>
        <x14:conditionalFormatting xmlns:xm="http://schemas.microsoft.com/office/excel/2006/main">
          <x14:cfRule type="expression" priority="2" id="{746D6C15-CED6-40A1-9D1B-E6D351F02BAC}">
            <xm:f>$C$13='Annex1_Library Prep'!$W$7</xm:f>
            <x14:dxf>
              <fill>
                <patternFill>
                  <bgColor theme="1"/>
                </patternFill>
              </fill>
            </x14:dxf>
          </x14:cfRule>
          <xm:sqref>C14</xm:sqref>
        </x14:conditionalFormatting>
        <x14:conditionalFormatting xmlns:xm="http://schemas.microsoft.com/office/excel/2006/main">
          <x14:cfRule type="expression" priority="11" id="{32BCB09E-122B-4543-99F4-C5BB673EA113}">
            <xm:f>$C$13='Annex1_Library Prep'!$W$7</xm:f>
            <x14:dxf>
              <fill>
                <patternFill>
                  <bgColor theme="1"/>
                </patternFill>
              </fill>
            </x14:dxf>
          </x14:cfRule>
          <xm:sqref>C15</xm:sqref>
        </x14:conditionalFormatting>
        <x14:conditionalFormatting xmlns:xm="http://schemas.microsoft.com/office/excel/2006/main">
          <x14:cfRule type="expression" priority="5" id="{223A1438-71C2-4427-9C22-3C043CFA44A1}">
            <xm:f>$C$13='Annex1_Library Prep'!$W$7</xm:f>
            <x14:dxf>
              <fill>
                <patternFill>
                  <bgColor theme="1"/>
                </patternFill>
              </fill>
            </x14:dxf>
          </x14:cfRule>
          <xm:sqref>C19</xm:sqref>
        </x14:conditionalFormatting>
        <x14:conditionalFormatting xmlns:xm="http://schemas.microsoft.com/office/excel/2006/main">
          <x14:cfRule type="expression" priority="17" id="{15150706-0184-44D7-9BB9-C59B08720C47}">
            <xm:f>$F$21&lt;&gt;'Annex1_Library Prep'!$T$4</xm:f>
            <x14:dxf>
              <fill>
                <patternFill>
                  <bgColor theme="1"/>
                </patternFill>
              </fill>
            </x14:dxf>
          </x14:cfRule>
          <xm:sqref>E35 E36:F37</xm:sqref>
        </x14:conditionalFormatting>
        <x14:conditionalFormatting xmlns:xm="http://schemas.microsoft.com/office/excel/2006/main">
          <x14:cfRule type="expression" priority="16" id="{B44882B7-DA05-41E4-8272-5C8D1F049BC7}">
            <xm:f>$F$18&lt;&gt;'Annex3_Reagents and Consumables'!$O$2</xm:f>
            <x14:dxf>
              <fill>
                <patternFill>
                  <bgColor theme="1"/>
                </patternFill>
              </fill>
            </x14:dxf>
          </x14:cfRule>
          <xm:sqref>E38:F38</xm:sqref>
        </x14:conditionalFormatting>
        <x14:conditionalFormatting xmlns:xm="http://schemas.microsoft.com/office/excel/2006/main">
          <x14:cfRule type="expression" priority="14" id="{75F5A1BD-84F0-44CB-81C6-068039FEE45F}">
            <xm:f>AND($F$18&lt;&gt;'Annex3_Reagents and Consumables'!$O$2, ISNA(MATCH($F$18, 'Annex3_Reagents and Consumables'!$B$42:$B$58, 0)))</xm:f>
            <x14:dxf>
              <fill>
                <patternFill>
                  <bgColor theme="1"/>
                </patternFill>
              </fill>
            </x14:dxf>
          </x14:cfRule>
          <xm:sqref>E39:F39</xm:sqref>
        </x14:conditionalFormatting>
        <x14:conditionalFormatting xmlns:xm="http://schemas.microsoft.com/office/excel/2006/main">
          <x14:cfRule type="expression" priority="15" id="{52772072-A669-4937-8EB0-BDB2AE30FABD}">
            <xm:f>$F$18&lt;&gt;'Annex3_Reagents and Consumables'!$O$2</xm:f>
            <x14:dxf>
              <fill>
                <patternFill>
                  <bgColor theme="1"/>
                </patternFill>
              </fill>
            </x14:dxf>
          </x14:cfRule>
          <xm:sqref>E40:F40</xm:sqref>
        </x14:conditionalFormatting>
        <x14:conditionalFormatting xmlns:xm="http://schemas.microsoft.com/office/excel/2006/main">
          <x14:cfRule type="expression" priority="7" id="{EAAAB076-F816-4513-82AF-C0F5462F26A6}">
            <xm:f>$F$13&lt;&gt;'Annex1_Library Prep'!$W$7</xm:f>
            <x14:dxf>
              <fill>
                <patternFill>
                  <bgColor theme="1"/>
                </patternFill>
              </fill>
            </x14:dxf>
          </x14:cfRule>
          <xm:sqref>E41:F41</xm:sqref>
        </x14:conditionalFormatting>
        <x14:conditionalFormatting xmlns:xm="http://schemas.microsoft.com/office/excel/2006/main">
          <x14:cfRule type="expression" priority="1" id="{1DD67CB9-53FE-4966-BC19-68592A8214EC}">
            <xm:f>$F$13='Annex1_Library Prep'!$W$7</xm:f>
            <x14:dxf>
              <fill>
                <patternFill>
                  <bgColor theme="1"/>
                </patternFill>
              </fill>
            </x14:dxf>
          </x14:cfRule>
          <xm:sqref>F14</xm:sqref>
        </x14:conditionalFormatting>
        <x14:conditionalFormatting xmlns:xm="http://schemas.microsoft.com/office/excel/2006/main">
          <x14:cfRule type="expression" priority="10" id="{12B8CE43-98EC-4192-8327-53CD3D26B31D}">
            <xm:f>$F$13='Annex1_Library Prep'!$W$7</xm:f>
            <x14:dxf>
              <fill>
                <patternFill>
                  <bgColor theme="1"/>
                </patternFill>
              </fill>
            </x14:dxf>
          </x14:cfRule>
          <xm:sqref>F15</xm:sqref>
        </x14:conditionalFormatting>
        <x14:conditionalFormatting xmlns:xm="http://schemas.microsoft.com/office/excel/2006/main">
          <x14:cfRule type="expression" priority="4" id="{02C1575D-445E-40C5-81B1-85B0A6AE2673}">
            <xm:f>$F$13='Annex1_Library Prep'!$W$7</xm:f>
            <x14:dxf>
              <fill>
                <patternFill>
                  <bgColor theme="1"/>
                </patternFill>
              </fill>
            </x14:dxf>
          </x14:cfRule>
          <xm:sqref>F19</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InputMessage="1" showErrorMessage="1" xr:uid="{94C690B8-F322-41F5-9BF7-45944EEEACAF}">
          <x14:formula1>
            <xm:f>'Annex1_Library Prep'!$Z$5:$Z$6</xm:f>
          </x14:formula1>
          <xm:sqref>F22 C22</xm:sqref>
        </x14:dataValidation>
        <x14:dataValidation type="list" allowBlank="1" showInputMessage="1" showErrorMessage="1" xr:uid="{FDA99898-1FC8-411C-B814-9A58F0D2A263}">
          <x14:formula1>
            <xm:f>IF($C$13='Annex1_Library Prep'!$W$5,'Annex4_Coverage Sample Calc'!$C$27:$C$39,IF($C$13='Annex1_Library Prep'!$W$6,'Annex4_Coverage Sample Calc'!$C$40:$C$44,'Annex1_Library Prep'!$Z$7))</xm:f>
          </x14:formula1>
          <xm:sqref>C14</xm:sqref>
        </x14:dataValidation>
        <x14:dataValidation type="list" allowBlank="1" showInputMessage="1" showErrorMessage="1" xr:uid="{D9294EF8-199F-4D88-BA97-6E42CDAEB4A7}">
          <x14:formula1>
            <xm:f>'Annex1_Library Prep'!$W$4:$W$7</xm:f>
          </x14:formula1>
          <xm:sqref>F13 C13</xm:sqref>
        </x14:dataValidation>
        <x14:dataValidation type="list" allowBlank="1" showInputMessage="1" showErrorMessage="1" xr:uid="{1981D55E-07ED-4915-BCC0-2C0995B14EA2}">
          <x14:formula1>
            <xm:f>IF($F$13='Annex1_Library Prep'!$W$5,'Annex4_Coverage Sample Calc'!$C$27:$C$39,IF($F$13='Annex1_Library Prep'!$W$6,'Annex4_Coverage Sample Calc'!$C$40:$C$44,'Annex1_Library Prep'!$Z$7))</xm:f>
          </x14:formula1>
          <xm:sqref>F14</xm:sqref>
        </x14:dataValidation>
        <x14:dataValidation type="list" allowBlank="1" showInputMessage="1" showErrorMessage="1" xr:uid="{01A080EE-6A06-4D80-9CC4-6D66557C3228}">
          <x14:formula1>
            <xm:f>'Annex1_Library Prep'!$P$4:$P$23</xm:f>
          </x14:formula1>
          <xm:sqref>C21</xm:sqref>
        </x14:dataValidation>
        <x14:dataValidation type="list" allowBlank="1" showInputMessage="1" showErrorMessage="1" xr:uid="{A41DAF47-C4FB-41B5-80A7-B090D4FD2181}">
          <x14:formula1>
            <xm:f>'Annex1_Library Prep'!$T$4:$T$23</xm:f>
          </x14:formula1>
          <xm:sqref>F21</xm:sqref>
        </x14:dataValidation>
        <x14:dataValidation type="list" allowBlank="1" showInputMessage="1" showErrorMessage="1" xr:uid="{189BBFF1-3EF5-4F5B-AC86-B5B8F535CC6A}">
          <x14:formula1>
            <xm:f>'Annex3_Reagents and Consumables'!$N$1:$N$18</xm:f>
          </x14:formula1>
          <xm:sqref>C18</xm:sqref>
        </x14:dataValidation>
        <x14:dataValidation type="list" allowBlank="1" showInputMessage="1" showErrorMessage="1" xr:uid="{23FF342D-2D47-4743-802A-F06E6DB57A5F}">
          <x14:formula1>
            <xm:f>'Annex3_Reagents and Consumables'!$N$3:$N$22</xm:f>
          </x14:formula1>
          <xm:sqref>C18</xm:sqref>
        </x14:dataValidation>
        <x14:dataValidation type="list" allowBlank="1" showInputMessage="1" showErrorMessage="1" xr:uid="{4AAE464A-4CE7-4073-B2A6-191D26DB326A}">
          <x14:formula1>
            <xm:f>'Annex3_Reagents and Consumables'!$O$1:$O$18</xm:f>
          </x14:formula1>
          <xm:sqref>F18</xm:sqref>
        </x14:dataValidation>
        <x14:dataValidation type="list" allowBlank="1" showInputMessage="1" showErrorMessage="1" xr:uid="{CB2D381F-4BC7-4359-B7D4-41D4626BF4AC}">
          <x14:formula1>
            <xm:f>'Annex3_Reagents and Consumables'!$O$3:$O$17</xm:f>
          </x14:formula1>
          <xm:sqref>F18</xm:sqref>
        </x14:dataValidation>
        <x14:dataValidation type="list" allowBlank="1" showInputMessage="1" showErrorMessage="1" xr:uid="{A8CCCC0F-3D17-944E-8F1B-A94F00C4ECF1}">
          <x14:formula1>
            <xm:f>Annex2_Equipment!$C$3:$C$23</xm:f>
          </x14:formula1>
          <xm:sqref>F17 C17</xm:sqref>
        </x14:dataValidation>
        <x14:dataValidation type="list" allowBlank="1" showInputMessage="1" showErrorMessage="1" xr:uid="{2D2EADC6-E114-43E2-991F-C1D43D6FEA7F}">
          <x14:formula1>
            <xm:f>'Annex1_Library Prep'!$AA$5:$AA$7</xm:f>
          </x14:formula1>
          <xm:sqref>C32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80D0-D4D1-4AA3-8263-CBBDA90ED3C9}">
  <dimension ref="B1:P121"/>
  <sheetViews>
    <sheetView topLeftCell="A95" zoomScaleNormal="100" workbookViewId="0">
      <selection activeCell="G118" sqref="G118"/>
    </sheetView>
  </sheetViews>
  <sheetFormatPr defaultColWidth="8.41796875" defaultRowHeight="14.4" outlineLevelCol="1"/>
  <cols>
    <col min="1" max="1" width="3" customWidth="1"/>
    <col min="2" max="2" width="5.83984375" customWidth="1"/>
    <col min="3" max="3" width="5.26171875" customWidth="1"/>
    <col min="4" max="5" width="4.68359375" customWidth="1"/>
    <col min="6" max="6" width="5.41796875" customWidth="1"/>
    <col min="7" max="7" width="21.68359375" customWidth="1"/>
    <col min="8" max="8" width="63.15625" customWidth="1"/>
    <col min="9" max="9" width="20.41796875" style="25" customWidth="1"/>
    <col min="10" max="10" width="18.26171875" bestFit="1" customWidth="1"/>
    <col min="11" max="11" width="16.68359375" customWidth="1"/>
    <col min="12" max="12" width="25.41796875" customWidth="1" outlineLevel="1"/>
    <col min="13" max="13" width="47.83984375" customWidth="1"/>
    <col min="14" max="14" width="22.41796875" customWidth="1"/>
    <col min="15" max="15" width="29" customWidth="1"/>
    <col min="16" max="16" width="8.15625" customWidth="1"/>
  </cols>
  <sheetData>
    <row r="1" spans="2:16" ht="14.7" thickBot="1"/>
    <row r="2" spans="2:16">
      <c r="B2" s="743" t="str">
        <f>Language!B62</f>
        <v>Reagents and consumables</v>
      </c>
      <c r="C2" s="743"/>
      <c r="D2" s="743"/>
      <c r="E2" s="743"/>
      <c r="F2" s="743"/>
      <c r="G2" s="743"/>
      <c r="H2" s="743"/>
      <c r="I2" s="743"/>
      <c r="J2" s="743"/>
      <c r="K2" s="743"/>
      <c r="L2" s="743"/>
      <c r="O2" s="87"/>
      <c r="P2" s="116" t="str">
        <f>Language!B70</f>
        <v>&lt;--Enter exchange rate USD to XX (if applicable)</v>
      </c>
    </row>
    <row r="3" spans="2:16" ht="115.5">
      <c r="B3" s="329" t="str">
        <f>Language!B31</f>
        <v>Sample receipt</v>
      </c>
      <c r="C3" s="329" t="str">
        <f>Language!B32</f>
        <v>Nucleic acid extraction</v>
      </c>
      <c r="D3" s="329" t="str">
        <f>Language!B33</f>
        <v>PCR testing</v>
      </c>
      <c r="E3" s="329" t="str">
        <f>Language!B34</f>
        <v>NGS library preparation</v>
      </c>
      <c r="F3" s="329" t="str">
        <f>Language!B35</f>
        <v>Sequencing</v>
      </c>
      <c r="G3" s="128" t="str">
        <f>Language!B64</f>
        <v>Reagent/consumable</v>
      </c>
      <c r="H3" s="128" t="str">
        <f>Language!B65</f>
        <v>Item</v>
      </c>
      <c r="I3" s="128" t="str">
        <f>Language!B66</f>
        <v>Quantity</v>
      </c>
      <c r="J3" s="128" t="str">
        <f>Language!B67</f>
        <v>Price per unit</v>
      </c>
      <c r="K3" s="128" t="str">
        <f>Language!B68</f>
        <v>Total cost</v>
      </c>
      <c r="L3" s="128" t="str">
        <f>Language!B367</f>
        <v>Distributed cost – per workflow</v>
      </c>
      <c r="O3" s="130" t="str">
        <f>Language!B69</f>
        <v>Local currency (reference only)</v>
      </c>
      <c r="P3" s="116"/>
    </row>
    <row r="4" spans="2:16" hidden="1">
      <c r="B4" s="2"/>
      <c r="C4" s="2"/>
      <c r="D4" s="2"/>
      <c r="E4" s="2"/>
      <c r="F4" s="216" t="str">
        <f>Language!B63</f>
        <v>Workflow step</v>
      </c>
      <c r="G4" s="114" t="str">
        <f>Language!B64</f>
        <v>Reagent/consumable</v>
      </c>
      <c r="H4" s="114" t="str">
        <f>Language!B65</f>
        <v>Item</v>
      </c>
      <c r="I4" s="114" t="str">
        <f>Language!B66</f>
        <v>Quantity</v>
      </c>
      <c r="J4" s="114" t="str">
        <f>Language!B67</f>
        <v>Price per unit</v>
      </c>
      <c r="K4" s="115" t="str">
        <f>Language!B68</f>
        <v>Total cost</v>
      </c>
      <c r="L4" s="115"/>
      <c r="O4" s="160" t="s">
        <v>2</v>
      </c>
      <c r="P4" s="117"/>
    </row>
    <row r="5" spans="2:16" ht="29.25" customHeight="1">
      <c r="B5" s="217" t="s">
        <v>3</v>
      </c>
      <c r="C5" s="217" t="s">
        <v>3</v>
      </c>
      <c r="D5" s="217" t="s">
        <v>3</v>
      </c>
      <c r="E5" s="217" t="s">
        <v>3</v>
      </c>
      <c r="F5" s="217" t="s">
        <v>4</v>
      </c>
      <c r="G5" s="611" t="str">
        <f>'Annex3_Reagents and Consumables'!B113</f>
        <v>Reagent</v>
      </c>
      <c r="H5" s="612" t="str">
        <f>IFERROR(IF('Data entry'!$C$18='Annex3_Reagents and Consumables'!N2,Language!B386,'Data entry'!$C$18),"")</f>
        <v>MiSeq Reagent Kit v2 (300 cycle)</v>
      </c>
      <c r="I5" s="613">
        <f>IFERROR(IF('Data entry'!$C$21='Annex1_Library Prep'!$D$86,0, IF('Data entry'!$C$18='Annex3_Reagents and Consumables'!$N$2,'Data entry'!$C$40*'Data entry'!$C$28,VLOOKUP('Data entry'!$C$18,'Annex3_Reagents and Consumables'!$B$3:$E$83, 4,FALSE))),"")</f>
        <v>53</v>
      </c>
      <c r="J5" s="614">
        <f>IFERROR(VLOOKUP('Data entry'!$C$18,'Annex3_Reagents and Consumables'!$B$3:$E$83, 2,FALSE),"")</f>
        <v>1194</v>
      </c>
      <c r="K5" s="142">
        <f>IFERROR(I5*J5,0)</f>
        <v>63282</v>
      </c>
      <c r="L5" s="142">
        <f>IFERROR($K5/(COUNTIF($B5:$F5,"Yes")),0)</f>
        <v>63282</v>
      </c>
      <c r="M5" s="364"/>
      <c r="O5" s="161">
        <f>(IFERROR($O$2*K5,""))</f>
        <v>0</v>
      </c>
    </row>
    <row r="6" spans="2:16" ht="29.25" customHeight="1">
      <c r="B6" s="217" t="s">
        <v>3</v>
      </c>
      <c r="C6" s="217" t="s">
        <v>3</v>
      </c>
      <c r="D6" s="217" t="s">
        <v>3</v>
      </c>
      <c r="E6" s="217" t="s">
        <v>4</v>
      </c>
      <c r="F6" s="217" t="s">
        <v>3</v>
      </c>
      <c r="G6" s="611" t="str">
        <f>Language!B34</f>
        <v>NGS library preparation</v>
      </c>
      <c r="H6" s="612" t="str" cm="1">
        <f t="array" ref="H6:H9">IF('Data entry'!$C$21='Annex1_Library Prep'!$P$4,Language!B388,IF('Data entry'!$C$21='Annex1_Library Prep'!$D$52, 'Annex1_Library Prep'!$E$52:$E$54,IF('Data entry'!$C$21='Annex1_Library Prep'!$D$55, 'Annex1_Library Prep'!$E$55:$E$58,IF('Data entry'!$C$21='Annex1_Library Prep'!$D$59, 'Annex1_Library Prep'!$E$59:$E$61,IF('Data entry'!$C$21='Annex1_Library Prep'!$D$62, 'Annex1_Library Prep'!$E$62,IF('Data entry'!$C$21='Annex1_Library Prep'!$D$63, 'Annex1_Library Prep'!$E$63:$E$65,IF('Data entry'!$C$21='Annex1_Library Prep'!$D$66, 'Annex1_Library Prep'!$E$66,IF('Data entry'!$C$21='Annex1_Library Prep'!$D$67, 'Annex1_Library Prep'!$E$67:$E$70,IF('Data entry'!$C$21='Annex1_Library Prep'!$D$71, 'Annex1_Library Prep'!$E$71:$E$72,IF('Data entry'!$C$21='Annex1_Library Prep'!$D$73, 'Annex1_Library Prep'!$E$73,IF('Data entry'!$C$21='Annex1_Library Prep'!$D$74, 'Annex1_Library Prep'!$E$74:$E$77,IF('Data entry'!$C$21='Annex1_Library Prep'!$D$78, 'Annex1_Library Prep'!$E$78:$E$81,IF('Data entry'!$C$21='Annex1_Library Prep'!$D$82, 'Annex1_Library Prep'!$E$82:$E$85,IF('Data entry'!$C$21='Annex1_Library Prep'!$D$86, 'Annex1_Library Prep'!$E$86:$E$88,IF('Data entry'!$C$21='Annex1_Library Prep'!$D$89, 'Annex1_Library Prep'!$E$89:$E$97,IF('Data entry'!$C$21='Annex1_Library Prep'!$D$98, 'Annex1_Library Prep'!$E$98:$E$104,IF('Data entry'!$C$21='Annex1_Library Prep'!$D$105, 'Annex1_Library Prep'!$E$105:$E$111,IF('Data entry'!$C$21='Annex1_Library Prep'!$D$112, 'Annex1_Library Prep'!$E$112:$E$118,IF('Data entry'!$C$21='Annex1_Library Prep'!$D$119, 'Annex1_Library Prep'!$E$119:$E$124, IF('Data entry'!$C$21='Annex1_Library Prep'!$D$125, 'Annex1_Library Prep'!$E$125:$E$130,IF('Data entry'!$C$21='Annex1_Library Prep'!$D$131, 'Annex1_Library Prep'!$E$131:$E$134, IF('Data entry'!$C$21='Annex1_Library Prep'!$D$135, 'Annex1_Library Prep'!$E$135:$E$138,IF('Data entry'!$C$21='Annex1_Library Prep'!$D$139, 'Annex1_Library Prep'!$E$139:$E$143,IF('Data entry'!$C$21='Annex1_Library Prep'!$D$144, 'Annex1_Library Prep'!$E$144:$E$146,IF('Data entry'!$C$21='Annex1_Library Prep'!$D$147, 'Annex1_Library Prep'!$E$147:$E$148,IF('Data entry'!$C$21='Annex1_Library Prep'!$D$149, 'Annex1_Library Prep'!$E$149:$E$153,IF('Data entry'!$C$21='Annex1_Library Prep'!$D$154, 'Annex1_Library Prep'!$E$154:$E$158,IF('Data entry'!$C$21='Annex1_Library Prep'!$D$159, 'Annex1_Library Prep'!$E$159:$E$162,IF('Data entry'!$C$21='Annex1_Library Prep'!$D$163, 'Annex1_Library Prep'!$E$163:$E$166,IF('Data entry'!$C$21='Annex1_Library Prep'!$D$167, 'Annex1_Library Prep'!$E$167:$E$170,IF('Data entry'!$C$21='Annex1_Library Prep'!$D$171, 'Annex1_Library Prep'!$E$171:$E$172,IF('Data entry'!$C$21='Annex1_Library Prep'!$D$173, 'Annex1_Library Prep'!$E$173:$E$176,IF('Data entry'!$C$21='Annex1_Library Prep'!$D$177, 'Annex1_Library Prep'!$E$177:$E$180,IF('Data entry'!$C$21='Annex1_Library Prep'!$D$181, 'Annex1_Library Prep'!$E$181:$E$184,IF('Data entry'!$C$21='Annex1_Library Prep'!$D$185, 'Annex1_Library Prep'!$E$185:$E$188,IF('Data entry'!$C$21='Annex1_Library Prep'!$D$189, 'Annex1_Library Prep'!$E$189:$E$193,IF('Data entry'!$C$21='Annex1_Library Prep'!$D$194, 'Annex1_Library Prep'!$E$194:$E$195,IF('Data entry'!$C$21='Annex1_Library Prep'!$D$196, 'Annex1_Library Prep'!$E$196:$E$200, Language!B388))))))))))))))))))))))))))))))))))))))</f>
        <v>Illumina DNA Prep, (M) Tagmentation (96 Samples, IPB)</v>
      </c>
      <c r="I6" s="613">
        <f>IF('Data entry'!$C$21='Annex1_Library Prep'!$P$4,
    IF(Equipment!$H$42&gt;=1,
       ROUNDUP(((1+'Data entry'!$C$33)*((1/'Data entry'!$C$37)*(('Data entry'!$C$16+'Data entry'!$C$16*'Data entry'!$C$23)+'Annex1_Library Prep'!$H$50))),0),
       ROUNDUP((1/'Data entry'!$C$37)*(('Data entry'!$C$16+'Data entry'!$C$16*'Data entry'!$C$23)+'Annex1_Library Prep'!$H$50),0)),
    IFERROR(VLOOKUP(H6,'Annex1_Library Prep'!$E$52:$K$200,4,FALSE),"")
)</f>
        <v>7</v>
      </c>
      <c r="J6" s="614">
        <f>IFERROR(VLOOKUP(H6,'Annex1_Library Prep'!$E$52:$K$200,7,FALSE),"")</f>
        <v>4153</v>
      </c>
      <c r="K6" s="142">
        <f t="shared" ref="K6:K26" si="0">IFERROR(I6*J6,0)</f>
        <v>29071</v>
      </c>
      <c r="L6" s="142">
        <f t="shared" ref="L6:L26" si="1">IFERROR($K6/(COUNTIF($B6:$F6,"Yes")),0)</f>
        <v>29071</v>
      </c>
      <c r="M6" s="364"/>
      <c r="O6" s="161">
        <f t="shared" ref="O6:O26" si="2">(IFERROR($O$2*K6,""))</f>
        <v>0</v>
      </c>
    </row>
    <row r="7" spans="2:16" ht="15" customHeight="1">
      <c r="B7" s="217" t="s">
        <v>3</v>
      </c>
      <c r="C7" s="217" t="s">
        <v>3</v>
      </c>
      <c r="D7" s="217" t="s">
        <v>3</v>
      </c>
      <c r="E7" s="217" t="s">
        <v>4</v>
      </c>
      <c r="F7" s="217" t="s">
        <v>3</v>
      </c>
      <c r="G7" s="611"/>
      <c r="H7" s="612" t="str">
        <v>Illumina DNA/RNA Unique Dual Indexes Sets A, B, C, D, Tagmentation (96 Indexes, 96 Samples/set)</v>
      </c>
      <c r="I7" s="613">
        <f>IFERROR(VLOOKUP(H7,'Annex1_Library Prep'!$E$52:$K$200,4,FALSE),"")</f>
        <v>7</v>
      </c>
      <c r="J7" s="614">
        <f>IFERROR(VLOOKUP(H7,'Annex1_Library Prep'!$E$52:$K$200,7,FALSE),"")</f>
        <v>408</v>
      </c>
      <c r="K7" s="142">
        <f t="shared" si="0"/>
        <v>2856</v>
      </c>
      <c r="L7" s="142">
        <f t="shared" si="1"/>
        <v>2856</v>
      </c>
      <c r="M7" s="368" t="str">
        <f>IF($J$7=0, Language!$B$396,"")</f>
        <v/>
      </c>
      <c r="O7" s="161">
        <f t="shared" si="2"/>
        <v>0</v>
      </c>
    </row>
    <row r="8" spans="2:16" ht="15" customHeight="1">
      <c r="B8" s="217" t="s">
        <v>3</v>
      </c>
      <c r="C8" s="217" t="s">
        <v>3</v>
      </c>
      <c r="D8" s="217" t="s">
        <v>3</v>
      </c>
      <c r="E8" s="217" t="s">
        <v>4</v>
      </c>
      <c r="F8" s="217" t="s">
        <v>3</v>
      </c>
      <c r="G8" s="611"/>
      <c r="H8" s="612" t="str">
        <v>RT-PCR reagents</v>
      </c>
      <c r="I8" s="613">
        <f>IFERROR(VLOOKUP(H8,'Annex1_Library Prep'!$E$52:$K$200,4,FALSE),"")</f>
        <v>7</v>
      </c>
      <c r="J8" s="614">
        <f>IFERROR(VLOOKUP(H8,'Annex1_Library Prep'!$E$52:$K$200,7,FALSE),"")</f>
        <v>460</v>
      </c>
      <c r="K8" s="142">
        <f t="shared" si="0"/>
        <v>3220</v>
      </c>
      <c r="L8" s="142">
        <f t="shared" si="1"/>
        <v>3220</v>
      </c>
      <c r="O8" s="161">
        <f t="shared" si="2"/>
        <v>0</v>
      </c>
    </row>
    <row r="9" spans="2:16" ht="15" customHeight="1">
      <c r="B9" s="217" t="s">
        <v>3</v>
      </c>
      <c r="C9" s="217" t="s">
        <v>3</v>
      </c>
      <c r="D9" s="217" t="s">
        <v>3</v>
      </c>
      <c r="E9" s="217" t="s">
        <v>4</v>
      </c>
      <c r="F9" s="217" t="s">
        <v>3</v>
      </c>
      <c r="G9" s="611"/>
      <c r="H9" s="612" t="str">
        <v>Target specific primers</v>
      </c>
      <c r="I9" s="613">
        <f>IFERROR(VLOOKUP(H9,'Annex1_Library Prep'!$E$52:$K$200,4,FALSE),"")</f>
        <v>1</v>
      </c>
      <c r="J9" s="614">
        <f>IFERROR(VLOOKUP(H9,'Annex1_Library Prep'!$E$52:$K$200,7,FALSE),"")</f>
        <v>65</v>
      </c>
      <c r="K9" s="142">
        <f t="shared" si="0"/>
        <v>65</v>
      </c>
      <c r="L9" s="142">
        <f t="shared" si="1"/>
        <v>65</v>
      </c>
      <c r="O9" s="161">
        <f t="shared" si="2"/>
        <v>0</v>
      </c>
    </row>
    <row r="10" spans="2:16" ht="15" customHeight="1">
      <c r="B10" s="217" t="s">
        <v>3</v>
      </c>
      <c r="C10" s="217" t="s">
        <v>3</v>
      </c>
      <c r="D10" s="217" t="s">
        <v>3</v>
      </c>
      <c r="E10" s="217" t="s">
        <v>4</v>
      </c>
      <c r="F10" s="217" t="s">
        <v>3</v>
      </c>
      <c r="G10" s="611"/>
      <c r="H10" s="612"/>
      <c r="I10" s="613" t="str">
        <f>IFERROR(VLOOKUP(H10,'Annex1_Library Prep'!$E$52:$K$200,4,FALSE),"")</f>
        <v/>
      </c>
      <c r="J10" s="614" t="str">
        <f>IFERROR(VLOOKUP(H10,'Annex1_Library Prep'!$E$52:$K$200,7,FALSE),"")</f>
        <v/>
      </c>
      <c r="K10" s="142">
        <f t="shared" si="0"/>
        <v>0</v>
      </c>
      <c r="L10" s="142">
        <f t="shared" si="1"/>
        <v>0</v>
      </c>
      <c r="O10" s="161">
        <f t="shared" si="2"/>
        <v>0</v>
      </c>
    </row>
    <row r="11" spans="2:16" ht="15" customHeight="1">
      <c r="B11" s="217" t="s">
        <v>3</v>
      </c>
      <c r="C11" s="217" t="s">
        <v>3</v>
      </c>
      <c r="D11" s="217" t="s">
        <v>3</v>
      </c>
      <c r="E11" s="217" t="s">
        <v>4</v>
      </c>
      <c r="F11" s="217" t="s">
        <v>3</v>
      </c>
      <c r="G11" s="611"/>
      <c r="H11" s="612"/>
      <c r="I11" s="613" t="str">
        <f>IFERROR(VLOOKUP(H11,'Annex1_Library Prep'!$E$52:$K$200,4,FALSE),"")</f>
        <v/>
      </c>
      <c r="J11" s="614" t="str">
        <f>IFERROR(VLOOKUP(H11,'Annex1_Library Prep'!$E$52:$K$200,7,FALSE),"")</f>
        <v/>
      </c>
      <c r="K11" s="142">
        <f t="shared" si="0"/>
        <v>0</v>
      </c>
      <c r="L11" s="142">
        <f t="shared" si="1"/>
        <v>0</v>
      </c>
      <c r="O11" s="161">
        <f t="shared" si="2"/>
        <v>0</v>
      </c>
    </row>
    <row r="12" spans="2:16" ht="15" customHeight="1">
      <c r="B12" s="217" t="s">
        <v>3</v>
      </c>
      <c r="C12" s="217" t="s">
        <v>3</v>
      </c>
      <c r="D12" s="217" t="s">
        <v>3</v>
      </c>
      <c r="E12" s="217" t="s">
        <v>4</v>
      </c>
      <c r="F12" s="217" t="s">
        <v>3</v>
      </c>
      <c r="G12" s="611"/>
      <c r="H12" s="612"/>
      <c r="I12" s="613" t="str">
        <f>IFERROR(VLOOKUP(H12,'Annex1_Library Prep'!$E$52:$K$200,4,FALSE),"")</f>
        <v/>
      </c>
      <c r="J12" s="614" t="str">
        <f>IFERROR(VLOOKUP(H12,'Annex1_Library Prep'!$E$52:$K$200,7,FALSE),"")</f>
        <v/>
      </c>
      <c r="K12" s="142">
        <f t="shared" si="0"/>
        <v>0</v>
      </c>
      <c r="L12" s="142">
        <f t="shared" si="1"/>
        <v>0</v>
      </c>
      <c r="O12" s="161">
        <f t="shared" si="2"/>
        <v>0</v>
      </c>
    </row>
    <row r="13" spans="2:16" ht="15" customHeight="1">
      <c r="B13" s="217" t="s">
        <v>3</v>
      </c>
      <c r="C13" s="217" t="s">
        <v>3</v>
      </c>
      <c r="D13" s="217" t="s">
        <v>3</v>
      </c>
      <c r="E13" s="217" t="s">
        <v>4</v>
      </c>
      <c r="F13" s="217" t="s">
        <v>3</v>
      </c>
      <c r="G13" s="611"/>
      <c r="H13" s="612"/>
      <c r="I13" s="613" t="str">
        <f>IFERROR(VLOOKUP(H13,'Annex1_Library Prep'!$E$52:$K$200,4,FALSE),"")</f>
        <v/>
      </c>
      <c r="J13" s="614" t="str">
        <f>IFERROR(VLOOKUP(H13,'Annex1_Library Prep'!$E$52:$K$200,7,FALSE),"")</f>
        <v/>
      </c>
      <c r="K13" s="142">
        <f t="shared" si="0"/>
        <v>0</v>
      </c>
      <c r="L13" s="142">
        <f t="shared" si="1"/>
        <v>0</v>
      </c>
      <c r="O13" s="161">
        <f t="shared" si="2"/>
        <v>0</v>
      </c>
    </row>
    <row r="14" spans="2:16" ht="15" customHeight="1">
      <c r="B14" s="217" t="s">
        <v>3</v>
      </c>
      <c r="C14" s="217" t="s">
        <v>3</v>
      </c>
      <c r="D14" s="217" t="s">
        <v>3</v>
      </c>
      <c r="E14" s="217" t="s">
        <v>4</v>
      </c>
      <c r="F14" s="217" t="s">
        <v>3</v>
      </c>
      <c r="G14" s="611"/>
      <c r="H14" s="612"/>
      <c r="I14" s="613" t="str">
        <f>IFERROR(VLOOKUP(H14,'Annex1_Library Prep'!$E$52:$K$200,4,FALSE),"")</f>
        <v/>
      </c>
      <c r="J14" s="614" t="str">
        <f>IFERROR(VLOOKUP(H14,'Annex1_Library Prep'!$E$52:$K$200,7,FALSE),"")</f>
        <v/>
      </c>
      <c r="K14" s="142">
        <f t="shared" si="0"/>
        <v>0</v>
      </c>
      <c r="L14" s="142">
        <f t="shared" si="1"/>
        <v>0</v>
      </c>
      <c r="O14" s="161">
        <f t="shared" si="2"/>
        <v>0</v>
      </c>
    </row>
    <row r="15" spans="2:16" ht="15" customHeight="1">
      <c r="B15" s="217" t="s">
        <v>3</v>
      </c>
      <c r="C15" s="217" t="s">
        <v>3</v>
      </c>
      <c r="D15" s="217" t="s">
        <v>3</v>
      </c>
      <c r="E15" s="217" t="s">
        <v>3</v>
      </c>
      <c r="F15" s="217" t="s">
        <v>4</v>
      </c>
      <c r="G15" s="611" t="str">
        <f>'Annex3_Reagents and Consumables'!B113</f>
        <v>Reagent</v>
      </c>
      <c r="H15" s="612" t="str">
        <f>IFERROR(IF('Data entry'!$F$18='Annex3_Reagents and Consumables'!O2,Language!B387,'Data entry'!$F$18),"")</f>
        <v>Enter the name of the sequencing reagent for platform 2 here</v>
      </c>
      <c r="I15" s="613">
        <f>IFERROR(IF('Data entry'!$F$21='Annex1_Library Prep'!$D$86,0, IF('Data entry'!$F$18='Annex3_Reagents and Consumables'!$O$2,'Data entry'!$F$40*'Data entry'!$F$28,VLOOKUP('Data entry'!$F$18,'Annex3_Reagents and Consumables'!$B$3:$F$83, 5,FALSE))),"")</f>
        <v>21</v>
      </c>
      <c r="J15" s="614" t="str">
        <f>IFERROR(VLOOKUP('Data entry'!$F$18,'Annex3_Reagents and Consumables'!$B$3:$F$83, 2,FALSE),"")</f>
        <v/>
      </c>
      <c r="K15" s="142">
        <f t="shared" si="0"/>
        <v>0</v>
      </c>
      <c r="L15" s="142">
        <f t="shared" si="1"/>
        <v>0</v>
      </c>
      <c r="O15" s="161">
        <f t="shared" si="2"/>
        <v>0</v>
      </c>
    </row>
    <row r="16" spans="2:16" ht="15" customHeight="1">
      <c r="B16" s="217" t="s">
        <v>3</v>
      </c>
      <c r="C16" s="217" t="s">
        <v>3</v>
      </c>
      <c r="D16" s="217" t="s">
        <v>3</v>
      </c>
      <c r="E16" s="217" t="s">
        <v>4</v>
      </c>
      <c r="F16" s="217" t="s">
        <v>3</v>
      </c>
      <c r="G16" s="611" t="str">
        <f>Language!B34</f>
        <v>NGS library preparation</v>
      </c>
      <c r="H16" s="612" t="str" cm="1">
        <f t="array" ref="H16">IF('Data entry'!$F$21='Annex1_Library Prep'!$T$4,Language!B389,IF('Data entry'!$F$21='Annex1_Library Prep'!$D$52, 'Annex1_Library Prep'!$E$52:$E$54,IF('Data entry'!$F$21='Annex1_Library Prep'!$D$55, 'Annex1_Library Prep'!$E$55:$E$58,IF('Data entry'!$F$21='Annex1_Library Prep'!$D$59, 'Annex1_Library Prep'!$E$59:$E$61,IF('Data entry'!$F$21='Annex1_Library Prep'!$D$62, 'Annex1_Library Prep'!$E$62,IF('Data entry'!$F$21='Annex1_Library Prep'!$D$63, 'Annex1_Library Prep'!$E$63:$E$65,IF('Data entry'!$F$21='Annex1_Library Prep'!$D$66, 'Annex1_Library Prep'!$E$66,IF('Data entry'!$F$21='Annex1_Library Prep'!$D$67, 'Annex1_Library Prep'!$E$67:$E$70,IF('Data entry'!$F$21='Annex1_Library Prep'!$D$71, 'Annex1_Library Prep'!$E$71:$E$72,IF('Data entry'!$F$21='Annex1_Library Prep'!$D$73, 'Annex1_Library Prep'!$E$73,IF('Data entry'!$F$21='Annex1_Library Prep'!$D$74, 'Annex1_Library Prep'!$E$74:$E$77,IF('Data entry'!$F$21='Annex1_Library Prep'!$D$78, 'Annex1_Library Prep'!$E$78:$E$81,IF('Data entry'!$F$21='Annex1_Library Prep'!$D$82, 'Annex1_Library Prep'!$E$82:$E$85,IF('Data entry'!$F$21='Annex1_Library Prep'!$D$86, 'Annex1_Library Prep'!$E$86:$E$88,IF('Data entry'!$F$21='Annex1_Library Prep'!$D$89, 'Annex1_Library Prep'!$E$89:$E$97,IF('Data entry'!$F$21='Annex1_Library Prep'!$D$98, 'Annex1_Library Prep'!$E$98:$E$104,IF('Data entry'!$F$21='Annex1_Library Prep'!$D$105, 'Annex1_Library Prep'!$E$105:$E$111,IF('Data entry'!$F$21='Annex1_Library Prep'!$D$112, 'Annex1_Library Prep'!$E$112:$E$118,IF('Data entry'!$F$21='Annex1_Library Prep'!$D$119, 'Annex1_Library Prep'!$E$119:$E$124, IF('Data entry'!$F$21='Annex1_Library Prep'!$D$125, 'Annex1_Library Prep'!$E$125:$E$130,IF('Data entry'!$F$21='Annex1_Library Prep'!$D$131, 'Annex1_Library Prep'!$E$131:$E$134, IF('Data entry'!$F$21='Annex1_Library Prep'!$D$135, 'Annex1_Library Prep'!$E$135:$E$138,IF('Data entry'!$F$21='Annex1_Library Prep'!$D$139, 'Annex1_Library Prep'!$E$139:$E$143,IF('Data entry'!$F$21='Annex1_Library Prep'!$D$144, 'Annex1_Library Prep'!$E$144:$E$146,IF('Data entry'!$F$21='Annex1_Library Prep'!$D$147, 'Annex1_Library Prep'!$E$147:$E$148,IF('Data entry'!$F$21='Annex1_Library Prep'!$D$149, 'Annex1_Library Prep'!$E$149:$E$153,IF('Data entry'!$F$21='Annex1_Library Prep'!$D$154, 'Annex1_Library Prep'!$E$154:$E$158,IF('Data entry'!$F$21='Annex1_Library Prep'!$D$159, 'Annex1_Library Prep'!$E$159:$E$162,IF('Data entry'!$F$21='Annex1_Library Prep'!$D$163, 'Annex1_Library Prep'!$E$163:$E$166,IF('Data entry'!$F$21='Annex1_Library Prep'!$D$167, 'Annex1_Library Prep'!$E$167:$E$170,IF('Data entry'!$F$21='Annex1_Library Prep'!$D$171, 'Annex1_Library Prep'!$E$171:$E$172,IF('Data entry'!$F$21='Annex1_Library Prep'!$D$173, 'Annex1_Library Prep'!$E$173:$E$176,IF('Data entry'!$F$21='Annex1_Library Prep'!$D$177, 'Annex1_Library Prep'!$E$177:$E$180,IF('Data entry'!$F$21='Annex1_Library Prep'!$D$181, 'Annex1_Library Prep'!$E$181:$E$184,IF('Data entry'!$F$21='Annex1_Library Prep'!$D$185, 'Annex1_Library Prep'!$E$185:$E$188,IF('Data entry'!$F$21='Annex1_Library Prep'!$D$189, 'Annex1_Library Prep'!$E$189:$E$193,IF('Data entry'!$F$21='Annex1_Library Prep'!$D$194, 'Annex1_Library Prep'!$E$194:$E$195,IF('Data entry'!$F$21='Annex1_Library Prep'!$D$196, 'Annex1_Library Prep'!$E$196:$E$200, Language!B388))))))))))))))))))))))))))))))))))))))</f>
        <v>Enter the name of the library preparation kit for platform 2 here</v>
      </c>
      <c r="I16" s="613">
        <f>IF('Data entry'!$F$21='Annex1_Library Prep'!$T$4,
    IF(Equipment!$H$42&gt;=1,
       ROUNDUP(((1+'Data entry'!$C$33)*((1/'Data entry'!$F$37)*(('Data entry'!$F$16+'Data entry'!$F$16*'Data entry'!$F$23)+'Annex1_Library Prep'!$I$50))),0),
       ROUNDUP((1/'Data entry'!$F$37)*(('Data entry'!$F$16+'Data entry'!$F$16*'Data entry'!$F$23)+'Annex1_Library Prep'!$I$50),0)),
    IFERROR(VLOOKUP(H16,'Annex1_Library Prep'!$E$52:$K$200,5,FALSE),"")
)</f>
        <v>4</v>
      </c>
      <c r="J16" s="614" t="str">
        <f>IFERROR(VLOOKUP(H16,'Annex1_Library Prep'!$E$52:$K$200,7,FALSE),"")</f>
        <v/>
      </c>
      <c r="K16" s="142">
        <f t="shared" si="0"/>
        <v>0</v>
      </c>
      <c r="L16" s="142">
        <f t="shared" si="1"/>
        <v>0</v>
      </c>
      <c r="O16" s="161">
        <f t="shared" si="2"/>
        <v>0</v>
      </c>
    </row>
    <row r="17" spans="2:15" ht="15" customHeight="1">
      <c r="B17" s="217" t="s">
        <v>3</v>
      </c>
      <c r="C17" s="217" t="s">
        <v>3</v>
      </c>
      <c r="D17" s="217" t="s">
        <v>3</v>
      </c>
      <c r="E17" s="217" t="s">
        <v>4</v>
      </c>
      <c r="F17" s="217" t="s">
        <v>3</v>
      </c>
      <c r="G17" s="611"/>
      <c r="H17" s="612"/>
      <c r="I17" s="613" t="str">
        <f>IFERROR(VLOOKUP(H17,'Annex1_Library Prep'!$E$52:$K$200,5,FALSE),"")</f>
        <v/>
      </c>
      <c r="J17" s="614" t="str">
        <f>IFERROR(VLOOKUP(H17,'Annex1_Library Prep'!$E$52:$K$200,7,FALSE),"")</f>
        <v/>
      </c>
      <c r="K17" s="142">
        <f t="shared" si="0"/>
        <v>0</v>
      </c>
      <c r="L17" s="142">
        <f t="shared" si="1"/>
        <v>0</v>
      </c>
      <c r="M17" s="368" t="str">
        <f>IF($J$17=0,Language!$B$396,"")</f>
        <v/>
      </c>
      <c r="O17" s="161">
        <f t="shared" si="2"/>
        <v>0</v>
      </c>
    </row>
    <row r="18" spans="2:15" ht="15" customHeight="1">
      <c r="B18" s="217" t="s">
        <v>3</v>
      </c>
      <c r="C18" s="217" t="s">
        <v>3</v>
      </c>
      <c r="D18" s="217" t="s">
        <v>3</v>
      </c>
      <c r="E18" s="217" t="s">
        <v>4</v>
      </c>
      <c r="F18" s="217" t="s">
        <v>3</v>
      </c>
      <c r="G18" s="611"/>
      <c r="H18" s="612"/>
      <c r="I18" s="613" t="str">
        <f>IFERROR(VLOOKUP(H18,'Annex1_Library Prep'!$E$52:$K$200,5,FALSE),"")</f>
        <v/>
      </c>
      <c r="J18" s="614" t="str">
        <f>IFERROR(VLOOKUP(H18,'Annex1_Library Prep'!$E$52:$K$200,7,FALSE),"")</f>
        <v/>
      </c>
      <c r="K18" s="142">
        <f t="shared" si="0"/>
        <v>0</v>
      </c>
      <c r="L18" s="142">
        <f t="shared" si="1"/>
        <v>0</v>
      </c>
      <c r="O18" s="161">
        <f t="shared" si="2"/>
        <v>0</v>
      </c>
    </row>
    <row r="19" spans="2:15" ht="15" customHeight="1">
      <c r="B19" s="217" t="s">
        <v>3</v>
      </c>
      <c r="C19" s="217" t="s">
        <v>3</v>
      </c>
      <c r="D19" s="217" t="s">
        <v>3</v>
      </c>
      <c r="E19" s="217" t="s">
        <v>4</v>
      </c>
      <c r="F19" s="217" t="s">
        <v>3</v>
      </c>
      <c r="G19" s="611"/>
      <c r="H19" s="612"/>
      <c r="I19" s="613" t="str">
        <f>IFERROR(VLOOKUP(H19,'Annex1_Library Prep'!$E$52:$K$200,5,FALSE),"")</f>
        <v/>
      </c>
      <c r="J19" s="614" t="str">
        <f>IFERROR(VLOOKUP(H19,'Annex1_Library Prep'!$E$52:$K$200,7,FALSE),"")</f>
        <v/>
      </c>
      <c r="K19" s="142">
        <f t="shared" si="0"/>
        <v>0</v>
      </c>
      <c r="L19" s="142">
        <f t="shared" si="1"/>
        <v>0</v>
      </c>
      <c r="O19" s="161">
        <f t="shared" si="2"/>
        <v>0</v>
      </c>
    </row>
    <row r="20" spans="2:15" ht="15" customHeight="1">
      <c r="B20" s="217" t="s">
        <v>3</v>
      </c>
      <c r="C20" s="217" t="s">
        <v>3</v>
      </c>
      <c r="D20" s="217" t="s">
        <v>3</v>
      </c>
      <c r="E20" s="217" t="s">
        <v>4</v>
      </c>
      <c r="F20" s="217" t="s">
        <v>3</v>
      </c>
      <c r="G20" s="611"/>
      <c r="H20" s="612"/>
      <c r="I20" s="613" t="str">
        <f>IFERROR(VLOOKUP(H20,'Annex1_Library Prep'!$E$52:$K$200,5,FALSE),"")</f>
        <v/>
      </c>
      <c r="J20" s="614" t="str">
        <f>IFERROR(VLOOKUP(H20,'Annex1_Library Prep'!$E$52:$K$200,7,FALSE),"")</f>
        <v/>
      </c>
      <c r="K20" s="142">
        <f t="shared" si="0"/>
        <v>0</v>
      </c>
      <c r="L20" s="142">
        <f t="shared" si="1"/>
        <v>0</v>
      </c>
      <c r="O20" s="161">
        <f t="shared" si="2"/>
        <v>0</v>
      </c>
    </row>
    <row r="21" spans="2:15" ht="15" customHeight="1">
      <c r="B21" s="217" t="s">
        <v>3</v>
      </c>
      <c r="C21" s="217" t="s">
        <v>3</v>
      </c>
      <c r="D21" s="217" t="s">
        <v>3</v>
      </c>
      <c r="E21" s="217" t="s">
        <v>4</v>
      </c>
      <c r="F21" s="217" t="s">
        <v>3</v>
      </c>
      <c r="G21" s="611"/>
      <c r="H21" s="612"/>
      <c r="I21" s="613" t="str">
        <f>IFERROR(VLOOKUP(H21,'Annex1_Library Prep'!$E$52:$K$200,5,FALSE),"")</f>
        <v/>
      </c>
      <c r="J21" s="614" t="str">
        <f>IFERROR(VLOOKUP(H21,'Annex1_Library Prep'!$E$52:$K$200,7,FALSE),"")</f>
        <v/>
      </c>
      <c r="K21" s="142">
        <f t="shared" si="0"/>
        <v>0</v>
      </c>
      <c r="L21" s="142">
        <f t="shared" si="1"/>
        <v>0</v>
      </c>
      <c r="O21" s="161">
        <f t="shared" si="2"/>
        <v>0</v>
      </c>
    </row>
    <row r="22" spans="2:15" ht="15" customHeight="1">
      <c r="B22" s="217" t="s">
        <v>3</v>
      </c>
      <c r="C22" s="217" t="s">
        <v>3</v>
      </c>
      <c r="D22" s="217" t="s">
        <v>3</v>
      </c>
      <c r="E22" s="217" t="s">
        <v>4</v>
      </c>
      <c r="F22" s="217" t="s">
        <v>3</v>
      </c>
      <c r="G22" s="611"/>
      <c r="H22" s="612"/>
      <c r="I22" s="613" t="str">
        <f>IFERROR(VLOOKUP(H22,'Annex1_Library Prep'!$E$52:$K$200,5,FALSE),"")</f>
        <v/>
      </c>
      <c r="J22" s="614" t="str">
        <f>IFERROR(VLOOKUP(H22,'Annex1_Library Prep'!$E$52:$K$200,7,FALSE),"")</f>
        <v/>
      </c>
      <c r="K22" s="142">
        <f t="shared" si="0"/>
        <v>0</v>
      </c>
      <c r="L22" s="142">
        <f t="shared" si="1"/>
        <v>0</v>
      </c>
      <c r="O22" s="161">
        <f t="shared" si="2"/>
        <v>0</v>
      </c>
    </row>
    <row r="23" spans="2:15" ht="15" customHeight="1">
      <c r="B23" s="217" t="s">
        <v>3</v>
      </c>
      <c r="C23" s="217" t="s">
        <v>3</v>
      </c>
      <c r="D23" s="217" t="s">
        <v>3</v>
      </c>
      <c r="E23" s="217" t="s">
        <v>4</v>
      </c>
      <c r="F23" s="217" t="s">
        <v>3</v>
      </c>
      <c r="G23" s="611"/>
      <c r="H23" s="612"/>
      <c r="I23" s="613" t="str">
        <f>IFERROR(VLOOKUP(H23,'Annex1_Library Prep'!$E$52:$K$200,5,FALSE),"")</f>
        <v/>
      </c>
      <c r="J23" s="614" t="str">
        <f>IFERROR(VLOOKUP(H23,'Annex1_Library Prep'!$E$52:$K$200,7,FALSE),"")</f>
        <v/>
      </c>
      <c r="K23" s="142">
        <f t="shared" si="0"/>
        <v>0</v>
      </c>
      <c r="L23" s="142">
        <f t="shared" si="1"/>
        <v>0</v>
      </c>
      <c r="O23" s="161">
        <f t="shared" si="2"/>
        <v>0</v>
      </c>
    </row>
    <row r="24" spans="2:15" ht="15" customHeight="1">
      <c r="B24" s="217" t="s">
        <v>3</v>
      </c>
      <c r="C24" s="217" t="s">
        <v>3</v>
      </c>
      <c r="D24" s="217" t="s">
        <v>3</v>
      </c>
      <c r="E24" s="217" t="s">
        <v>4</v>
      </c>
      <c r="F24" s="217" t="s">
        <v>3</v>
      </c>
      <c r="G24" s="611"/>
      <c r="H24" s="612"/>
      <c r="I24" s="613" t="str">
        <f>IFERROR(VLOOKUP(H24,'Annex1_Library Prep'!$E$52:$K$200,5,FALSE),"")</f>
        <v/>
      </c>
      <c r="J24" s="614" t="str">
        <f>IFERROR(VLOOKUP(H24,'Annex1_Library Prep'!$E$52:$K$200,7,FALSE),"")</f>
        <v/>
      </c>
      <c r="K24" s="142">
        <f t="shared" si="0"/>
        <v>0</v>
      </c>
      <c r="L24" s="142">
        <f t="shared" si="1"/>
        <v>0</v>
      </c>
      <c r="O24" s="161">
        <f t="shared" si="2"/>
        <v>0</v>
      </c>
    </row>
    <row r="25" spans="2:15" ht="15" customHeight="1">
      <c r="B25" s="217" t="s">
        <v>3</v>
      </c>
      <c r="C25" s="217" t="s">
        <v>3</v>
      </c>
      <c r="D25" s="217" t="s">
        <v>3</v>
      </c>
      <c r="E25" s="217" t="s">
        <v>4</v>
      </c>
      <c r="F25" s="217" t="s">
        <v>3</v>
      </c>
      <c r="G25" s="611" t="str">
        <f>IF('Data entry'!$C$22='Annex1_Library Prep'!$Z$5,
   IF('Data entry'!C21='Annex1_Library Prep'!P4,
      Language!B383,
      IF(VLOOKUP('Data entry'!$C$21, 'Annex1_Library Prep'!$D$52:$L$200, 9, FALSE)='Annex1_Library Prep'!$Z$5,
         "",
         Language!B383)
   ),
   ""
)</f>
        <v/>
      </c>
      <c r="H25" s="612" t="str">
        <f>IF('Data entry'!$C$22='Annex1_Library Prep'!$Z$5,
   IF('Data entry'!C21='Annex1_Library Prep'!P4,
      Language!B384,
      IF(VLOOKUP('Data entry'!$C$21, 'Annex1_Library Prep'!$D$52:$L$200, 9, FALSE)='Annex1_Library Prep'!$Z$5,
         "",
         Language!B384)
   ),
   ""
)</f>
        <v/>
      </c>
      <c r="I25" s="699"/>
      <c r="J25" s="94"/>
      <c r="K25" s="142">
        <f t="shared" si="0"/>
        <v>0</v>
      </c>
      <c r="L25" s="142">
        <f t="shared" si="1"/>
        <v>0</v>
      </c>
      <c r="M25" s="116" t="str">
        <f>IF(ISNUMBER(SEARCH(Language!B384,$H$25)),Language!B456,"")</f>
        <v/>
      </c>
      <c r="O25" s="161">
        <f t="shared" si="2"/>
        <v>0</v>
      </c>
    </row>
    <row r="26" spans="2:15" ht="15" customHeight="1">
      <c r="B26" s="217" t="s">
        <v>3</v>
      </c>
      <c r="C26" s="217" t="s">
        <v>3</v>
      </c>
      <c r="D26" s="217" t="s">
        <v>3</v>
      </c>
      <c r="E26" s="217" t="s">
        <v>4</v>
      </c>
      <c r="F26" s="217" t="s">
        <v>3</v>
      </c>
      <c r="G26" s="611" t="str">
        <f>IF('Data entry'!$F$22='Annex1_Library Prep'!$Z$5,
   IF('Data entry'!F21='Annex1_Library Prep'!T4,
      Language!B383,
    IF(VLOOKUP('Data entry'!$F$21, 'Annex1_Library Prep'!$D$52:$L$200, 9, FALSE)='Annex1_Library Prep'!$Z$5,
       "",
       Language!B383)),
    "")</f>
        <v/>
      </c>
      <c r="H26" s="612" t="str">
        <f>IF('Data entry'!$F$22='Annex1_Library Prep'!$Z$5,
   IF('Data entry'!F21='Annex1_Library Prep'!T4,
      Language!B385,
    IF(VLOOKUP('Data entry'!$F$21, 'Annex1_Library Prep'!$D$52:$L$200, 9, FALSE)='Annex1_Library Prep'!$Z$5,
       "",
       Language!B385)),
    "")</f>
        <v/>
      </c>
      <c r="I26" s="699"/>
      <c r="J26" s="94"/>
      <c r="K26" s="142">
        <f t="shared" si="0"/>
        <v>0</v>
      </c>
      <c r="L26" s="142">
        <f t="shared" si="1"/>
        <v>0</v>
      </c>
      <c r="M26" s="116" t="str">
        <f>IF(ISNUMBER(SEARCH(Language!B385,$H$26)),Language!B457,"")</f>
        <v/>
      </c>
      <c r="O26" s="161">
        <f t="shared" si="2"/>
        <v>0</v>
      </c>
    </row>
    <row r="27" spans="2:15" ht="77.25" customHeight="1">
      <c r="B27" s="329" t="str">
        <f>Language!B31</f>
        <v>Sample receipt</v>
      </c>
      <c r="C27" s="329" t="str">
        <f>Language!B32</f>
        <v>Nucleic acid extraction</v>
      </c>
      <c r="D27" s="329" t="str">
        <f>Language!B33</f>
        <v>PCR testing</v>
      </c>
      <c r="E27" s="329" t="str">
        <f>Language!B34</f>
        <v>NGS library preparation</v>
      </c>
      <c r="F27" s="329" t="str">
        <f>Language!B35</f>
        <v>Sequencing</v>
      </c>
      <c r="G27" s="128" t="str">
        <f>Language!B64</f>
        <v>Reagent/consumable</v>
      </c>
      <c r="H27" s="113" t="str">
        <f>Language!B65</f>
        <v>Item</v>
      </c>
      <c r="I27" s="113" t="str">
        <f>Language!B66</f>
        <v>Quantity</v>
      </c>
      <c r="J27" s="113" t="str">
        <f>Language!B67</f>
        <v>Price per unit</v>
      </c>
      <c r="K27" s="129" t="str">
        <f>Language!B68</f>
        <v>Total cost</v>
      </c>
      <c r="L27" s="128" t="str">
        <f>Language!B367</f>
        <v>Distributed cost – per workflow</v>
      </c>
      <c r="O27" s="163" t="e">
        <f t="shared" ref="O27:O28" si="3">$O$2*K27</f>
        <v>#VALUE!</v>
      </c>
    </row>
    <row r="28" spans="2:15" ht="15" hidden="1" customHeight="1">
      <c r="B28" s="185"/>
      <c r="C28" s="185"/>
      <c r="D28" s="185"/>
      <c r="E28" s="185"/>
      <c r="F28" s="216" t="s">
        <v>5</v>
      </c>
      <c r="G28" s="114" t="s">
        <v>6</v>
      </c>
      <c r="H28" s="114" t="s">
        <v>7</v>
      </c>
      <c r="I28" s="114" t="s">
        <v>8</v>
      </c>
      <c r="J28" s="159" t="s">
        <v>9</v>
      </c>
      <c r="K28" s="115" t="s">
        <v>10</v>
      </c>
      <c r="L28" s="115"/>
      <c r="O28" s="164" t="e">
        <f t="shared" si="3"/>
        <v>#VALUE!</v>
      </c>
    </row>
    <row r="29" spans="2:15" ht="37.5" customHeight="1">
      <c r="B29" s="601" t="s">
        <v>4</v>
      </c>
      <c r="C29" s="601" t="s">
        <v>3</v>
      </c>
      <c r="D29" s="601" t="s">
        <v>3</v>
      </c>
      <c r="E29" s="601" t="s">
        <v>3</v>
      </c>
      <c r="F29" s="601" t="s">
        <v>3</v>
      </c>
      <c r="G29" s="616" t="str">
        <f>'Annex3_Reagents and Consumables'!B93</f>
        <v>Consumable</v>
      </c>
      <c r="H29" s="617" t="str">
        <f>'Annex3_Reagents and Consumables'!C93</f>
        <v>Viral transport media sampling kits with 10 ml tubes and swabs (50-pck)</v>
      </c>
      <c r="I29" s="618">
        <f>IFERROR(VLOOKUP(H29,'Annex3_Reagents and Consumables'!$C$93:$J$129,7,FALSE),0)</f>
        <v>20</v>
      </c>
      <c r="J29" s="615">
        <f>IFERROR(VLOOKUP(H29,'Annex3_Reagents and Consumables'!$C$93:$J$129,8,FALSE),0)</f>
        <v>78</v>
      </c>
      <c r="K29" s="158">
        <f>IFERROR(I29*J29,0)</f>
        <v>1560</v>
      </c>
      <c r="L29" s="142">
        <f t="shared" ref="L29:L92" si="4">IFERROR($K29/(COUNTIF($B29:$F29,"Yes")),0)</f>
        <v>1560</v>
      </c>
      <c r="O29" s="162">
        <f>IFERROR($O$2*K29,"")</f>
        <v>0</v>
      </c>
    </row>
    <row r="30" spans="2:15">
      <c r="B30" s="601" t="s">
        <v>4</v>
      </c>
      <c r="C30" s="601" t="s">
        <v>3</v>
      </c>
      <c r="D30" s="601" t="s">
        <v>3</v>
      </c>
      <c r="E30" s="601" t="s">
        <v>3</v>
      </c>
      <c r="F30" s="601" t="s">
        <v>3</v>
      </c>
      <c r="G30" s="616" t="str">
        <f>'Annex3_Reagents and Consumables'!B94</f>
        <v>Consumable</v>
      </c>
      <c r="H30" s="617" t="str">
        <f>'Annex3_Reagents and Consumables'!C94</f>
        <v>Specimen transport packaging (ambient) (150-pck)</v>
      </c>
      <c r="I30" s="618">
        <f>IFERROR(VLOOKUP(H30,'Annex3_Reagents and Consumables'!$C$93:$J$129,7,FALSE),0)</f>
        <v>8</v>
      </c>
      <c r="J30" s="615">
        <f>IFERROR(VLOOKUP(H30,'Annex3_Reagents and Consumables'!$C$93:$J$129,8,FALSE),0)</f>
        <v>472.67999999999995</v>
      </c>
      <c r="K30" s="158">
        <f t="shared" ref="K30:K93" si="5">IFERROR(I30*J30,0)</f>
        <v>3781.4399999999996</v>
      </c>
      <c r="L30" s="142">
        <f t="shared" si="4"/>
        <v>3781.4399999999996</v>
      </c>
      <c r="O30" s="162">
        <f t="shared" ref="O30:O93" si="6">IFERROR($O$2*K30,"")</f>
        <v>0</v>
      </c>
    </row>
    <row r="31" spans="2:15" ht="15" customHeight="1">
      <c r="B31" s="601" t="s">
        <v>4</v>
      </c>
      <c r="C31" s="601" t="s">
        <v>3</v>
      </c>
      <c r="D31" s="601" t="s">
        <v>3</v>
      </c>
      <c r="E31" s="601" t="s">
        <v>3</v>
      </c>
      <c r="F31" s="601" t="s">
        <v>3</v>
      </c>
      <c r="G31" s="616" t="str">
        <f>'Annex3_Reagents and Consumables'!B95</f>
        <v>Consumable</v>
      </c>
      <c r="H31" s="617" t="str">
        <f>'Annex3_Reagents and Consumables'!C95</f>
        <v>Specimen transport packaging (2–8C) (150-pck)</v>
      </c>
      <c r="I31" s="618">
        <f>IFERROR(VLOOKUP(H31,'Annex3_Reagents and Consumables'!$C$93:$J$129,7,FALSE),0)</f>
        <v>8</v>
      </c>
      <c r="J31" s="615">
        <f>IFERROR(VLOOKUP(H31,'Annex3_Reagents and Consumables'!$C$93:$J$129,8,FALSE),0)</f>
        <v>472.67999999999995</v>
      </c>
      <c r="K31" s="158">
        <f t="shared" si="5"/>
        <v>3781.4399999999996</v>
      </c>
      <c r="L31" s="142">
        <f t="shared" si="4"/>
        <v>3781.4399999999996</v>
      </c>
      <c r="O31" s="162">
        <f t="shared" si="6"/>
        <v>0</v>
      </c>
    </row>
    <row r="32" spans="2:15" ht="15" customHeight="1">
      <c r="B32" s="601" t="s">
        <v>4</v>
      </c>
      <c r="C32" s="601" t="s">
        <v>3</v>
      </c>
      <c r="D32" s="601" t="s">
        <v>3</v>
      </c>
      <c r="E32" s="601" t="s">
        <v>3</v>
      </c>
      <c r="F32" s="601" t="s">
        <v>3</v>
      </c>
      <c r="G32" s="616" t="str">
        <f>'Annex3_Reagents and Consumables'!B96</f>
        <v>Consumable</v>
      </c>
      <c r="H32" s="617" t="str">
        <f>'Annex3_Reagents and Consumables'!C96</f>
        <v>Specimen transport packaging (-20C) (150-pck)</v>
      </c>
      <c r="I32" s="618">
        <f>IFERROR(VLOOKUP(H32,'Annex3_Reagents and Consumables'!$C$93:$J$129,7,FALSE),0)</f>
        <v>8</v>
      </c>
      <c r="J32" s="615">
        <f>IFERROR(VLOOKUP(H32,'Annex3_Reagents and Consumables'!$C$93:$J$129,8,FALSE),0)</f>
        <v>472.67999999999995</v>
      </c>
      <c r="K32" s="158">
        <f t="shared" si="5"/>
        <v>3781.4399999999996</v>
      </c>
      <c r="L32" s="142">
        <f t="shared" si="4"/>
        <v>3781.4399999999996</v>
      </c>
      <c r="O32" s="162">
        <f t="shared" si="6"/>
        <v>0</v>
      </c>
    </row>
    <row r="33" spans="2:15" ht="15" customHeight="1">
      <c r="B33" s="601" t="s">
        <v>4</v>
      </c>
      <c r="C33" s="601" t="s">
        <v>3</v>
      </c>
      <c r="D33" s="601" t="s">
        <v>3</v>
      </c>
      <c r="E33" s="601" t="s">
        <v>3</v>
      </c>
      <c r="F33" s="601" t="s">
        <v>3</v>
      </c>
      <c r="G33" s="616" t="str">
        <f>'Annex3_Reagents and Consumables'!B97</f>
        <v>Consumable</v>
      </c>
      <c r="H33" s="617" t="str">
        <f>'Annex3_Reagents and Consumables'!C97</f>
        <v>Cold packs (24-pck)</v>
      </c>
      <c r="I33" s="618">
        <f>IFERROR(VLOOKUP(H33,'Annex3_Reagents and Consumables'!$C$93:$J$129,7,FALSE),0)</f>
        <v>2</v>
      </c>
      <c r="J33" s="615">
        <f>IFERROR(VLOOKUP(H33,'Annex3_Reagents and Consumables'!$C$93:$J$129,8,FALSE),0)</f>
        <v>179.66399999999999</v>
      </c>
      <c r="K33" s="158">
        <f t="shared" si="5"/>
        <v>359.32799999999997</v>
      </c>
      <c r="L33" s="142">
        <f t="shared" si="4"/>
        <v>359.32799999999997</v>
      </c>
      <c r="O33" s="162">
        <f t="shared" si="6"/>
        <v>0</v>
      </c>
    </row>
    <row r="34" spans="2:15">
      <c r="B34" s="601" t="s">
        <v>3</v>
      </c>
      <c r="C34" s="601" t="s">
        <v>4</v>
      </c>
      <c r="D34" s="601" t="s">
        <v>4</v>
      </c>
      <c r="E34" s="601" t="s">
        <v>3</v>
      </c>
      <c r="F34" s="601" t="s">
        <v>3</v>
      </c>
      <c r="G34" s="616" t="str">
        <f>'Annex3_Reagents and Consumables'!B98</f>
        <v>Consumable</v>
      </c>
      <c r="H34" s="617" t="str">
        <f>'Annex3_Reagents and Consumables'!C98</f>
        <v>PCR plates (10/pack) 96-well reaction plate</v>
      </c>
      <c r="I34" s="618">
        <f>IFERROR(VLOOKUP(H34,'Annex3_Reagents and Consumables'!$C$93:$J$129,7,FALSE),0)</f>
        <v>9</v>
      </c>
      <c r="J34" s="615">
        <f>IFERROR(VLOOKUP(H34,'Annex3_Reagents and Consumables'!$C$93:$J$129,8,FALSE),0)</f>
        <v>33.167999999999999</v>
      </c>
      <c r="K34" s="158">
        <f t="shared" si="5"/>
        <v>298.512</v>
      </c>
      <c r="L34" s="142">
        <f t="shared" si="4"/>
        <v>149.256</v>
      </c>
      <c r="O34" s="162">
        <f t="shared" si="6"/>
        <v>0</v>
      </c>
    </row>
    <row r="35" spans="2:15">
      <c r="B35" s="601" t="s">
        <v>3</v>
      </c>
      <c r="C35" s="601" t="s">
        <v>4</v>
      </c>
      <c r="D35" s="601" t="s">
        <v>4</v>
      </c>
      <c r="E35" s="601" t="s">
        <v>3</v>
      </c>
      <c r="F35" s="601" t="s">
        <v>3</v>
      </c>
      <c r="G35" s="616" t="str">
        <f>'Annex3_Reagents and Consumables'!B99</f>
        <v>Consumable</v>
      </c>
      <c r="H35" s="617" t="str">
        <f>'Annex3_Reagents and Consumables'!C99</f>
        <v>PCR plate covers adhesive film (1 cover per plate)</v>
      </c>
      <c r="I35" s="618">
        <f>IFERROR(VLOOKUP(H35,'Annex3_Reagents and Consumables'!$C$93:$J$129,7,FALSE),0)</f>
        <v>2</v>
      </c>
      <c r="J35" s="615">
        <f>IFERROR(VLOOKUP(H35,'Annex3_Reagents and Consumables'!$C$93:$J$129,8,FALSE),0)</f>
        <v>141.58799999999999</v>
      </c>
      <c r="K35" s="158">
        <f t="shared" si="5"/>
        <v>283.17599999999999</v>
      </c>
      <c r="L35" s="142">
        <f t="shared" si="4"/>
        <v>141.58799999999999</v>
      </c>
      <c r="O35" s="162">
        <f t="shared" si="6"/>
        <v>0</v>
      </c>
    </row>
    <row r="36" spans="2:15">
      <c r="B36" s="601" t="s">
        <v>3</v>
      </c>
      <c r="C36" s="601" t="s">
        <v>4</v>
      </c>
      <c r="D36" s="601" t="s">
        <v>4</v>
      </c>
      <c r="E36" s="601" t="s">
        <v>4</v>
      </c>
      <c r="F36" s="601" t="s">
        <v>4</v>
      </c>
      <c r="G36" s="616" t="str">
        <f>'Annex3_Reagents and Consumables'!B100</f>
        <v>Consumable</v>
      </c>
      <c r="H36" s="617" t="str">
        <f>'Annex3_Reagents and Consumables'!C100</f>
        <v>Pipette filter tips 10uL (96 tips x 10 racks)</v>
      </c>
      <c r="I36" s="618">
        <f>IFERROR(VLOOKUP(H36,'Annex3_Reagents and Consumables'!$C$93:$J$129,7,FALSE),0)</f>
        <v>9</v>
      </c>
      <c r="J36" s="615">
        <f>IFERROR(VLOOKUP(H36,'Annex3_Reagents and Consumables'!$C$93:$J$129,8,FALSE),0)</f>
        <v>184.79999999999998</v>
      </c>
      <c r="K36" s="158">
        <f t="shared" si="5"/>
        <v>1663.1999999999998</v>
      </c>
      <c r="L36" s="142">
        <f t="shared" si="4"/>
        <v>415.79999999999995</v>
      </c>
      <c r="O36" s="162">
        <f t="shared" si="6"/>
        <v>0</v>
      </c>
    </row>
    <row r="37" spans="2:15">
      <c r="B37" s="601" t="s">
        <v>3</v>
      </c>
      <c r="C37" s="601" t="s">
        <v>4</v>
      </c>
      <c r="D37" s="601" t="s">
        <v>4</v>
      </c>
      <c r="E37" s="601" t="s">
        <v>4</v>
      </c>
      <c r="F37" s="601" t="s">
        <v>4</v>
      </c>
      <c r="G37" s="616" t="str">
        <f>'Annex3_Reagents and Consumables'!B102</f>
        <v>Consumable</v>
      </c>
      <c r="H37" s="617" t="str">
        <f>'Annex3_Reagents and Consumables'!C102</f>
        <v>Pipette filter tips 200uL  (96 tips x 10 racks)</v>
      </c>
      <c r="I37" s="618">
        <f>IFERROR(VLOOKUP(H37,'Annex3_Reagents and Consumables'!$C$93:$J$129,7,FALSE),0)</f>
        <v>9</v>
      </c>
      <c r="J37" s="615">
        <f>IFERROR(VLOOKUP(H37,'Annex3_Reagents and Consumables'!$C$93:$J$129,8,FALSE),0)</f>
        <v>56.4</v>
      </c>
      <c r="K37" s="158">
        <f t="shared" si="5"/>
        <v>507.59999999999997</v>
      </c>
      <c r="L37" s="142">
        <f t="shared" si="4"/>
        <v>126.89999999999999</v>
      </c>
      <c r="O37" s="162">
        <f t="shared" si="6"/>
        <v>0</v>
      </c>
    </row>
    <row r="38" spans="2:15">
      <c r="B38" s="601" t="s">
        <v>3</v>
      </c>
      <c r="C38" s="601" t="s">
        <v>4</v>
      </c>
      <c r="D38" s="601" t="s">
        <v>4</v>
      </c>
      <c r="E38" s="601" t="s">
        <v>4</v>
      </c>
      <c r="F38" s="601" t="s">
        <v>4</v>
      </c>
      <c r="G38" s="616" t="str">
        <f>'Annex3_Reagents and Consumables'!B103</f>
        <v>Consumable</v>
      </c>
      <c r="H38" s="617" t="str">
        <f>'Annex3_Reagents and Consumables'!C103</f>
        <v>Pipette filter tips 1000uL  (96 tips x 10 racks)</v>
      </c>
      <c r="I38" s="618">
        <f>IFERROR(VLOOKUP(H38,'Annex3_Reagents and Consumables'!$C$93:$J$129,7,FALSE),0)</f>
        <v>6</v>
      </c>
      <c r="J38" s="615">
        <f>IFERROR(VLOOKUP(H38,'Annex3_Reagents and Consumables'!$C$93:$J$129,8,FALSE),0)</f>
        <v>163.19999999999999</v>
      </c>
      <c r="K38" s="158">
        <f t="shared" si="5"/>
        <v>979.19999999999993</v>
      </c>
      <c r="L38" s="142">
        <f t="shared" si="4"/>
        <v>244.79999999999998</v>
      </c>
      <c r="O38" s="162">
        <f t="shared" si="6"/>
        <v>0</v>
      </c>
    </row>
    <row r="39" spans="2:15">
      <c r="B39" s="601" t="s">
        <v>3</v>
      </c>
      <c r="C39" s="601" t="s">
        <v>4</v>
      </c>
      <c r="D39" s="601" t="s">
        <v>4</v>
      </c>
      <c r="E39" s="601" t="s">
        <v>3</v>
      </c>
      <c r="F39" s="601" t="s">
        <v>3</v>
      </c>
      <c r="G39" s="616" t="str">
        <f>'Annex3_Reagents and Consumables'!B104</f>
        <v>Consumable</v>
      </c>
      <c r="H39" s="617" t="str">
        <f>'Annex3_Reagents and Consumables'!C104</f>
        <v>0.2mL PCR tubes, thin-walled (1000; strips)</v>
      </c>
      <c r="I39" s="618">
        <f>IFERROR(VLOOKUP(H39,'Annex3_Reagents and Consumables'!$C$93:$J$129,7,FALSE),0)</f>
        <v>7</v>
      </c>
      <c r="J39" s="615">
        <f>IFERROR(VLOOKUP(H39,'Annex3_Reagents and Consumables'!$C$93:$J$129,8,FALSE),0)</f>
        <v>145.19999999999999</v>
      </c>
      <c r="K39" s="158">
        <f t="shared" si="5"/>
        <v>1016.3999999999999</v>
      </c>
      <c r="L39" s="142">
        <f t="shared" si="4"/>
        <v>508.19999999999993</v>
      </c>
      <c r="O39" s="162">
        <f t="shared" si="6"/>
        <v>0</v>
      </c>
    </row>
    <row r="40" spans="2:15">
      <c r="B40" s="601" t="s">
        <v>3</v>
      </c>
      <c r="C40" s="601" t="s">
        <v>4</v>
      </c>
      <c r="D40" s="601" t="s">
        <v>4</v>
      </c>
      <c r="E40" s="601" t="s">
        <v>4</v>
      </c>
      <c r="F40" s="601" t="s">
        <v>4</v>
      </c>
      <c r="G40" s="616" t="str">
        <f>'Annex3_Reagents and Consumables'!B105</f>
        <v>Consumable</v>
      </c>
      <c r="H40" s="617" t="str">
        <f>'Annex3_Reagents and Consumables'!C105</f>
        <v>1.5mL PCR tubes, LoBind (250)</v>
      </c>
      <c r="I40" s="618">
        <f>IFERROR(VLOOKUP(H40,'Annex3_Reagents and Consumables'!$C$93:$J$129,7,FALSE),0)</f>
        <v>9</v>
      </c>
      <c r="J40" s="615">
        <f>IFERROR(VLOOKUP(H40,'Annex3_Reagents and Consumables'!$C$93:$J$129,8,FALSE),0)</f>
        <v>13.2</v>
      </c>
      <c r="K40" s="158">
        <f t="shared" si="5"/>
        <v>118.8</v>
      </c>
      <c r="L40" s="142">
        <f t="shared" si="4"/>
        <v>29.7</v>
      </c>
      <c r="O40" s="162">
        <f t="shared" si="6"/>
        <v>0</v>
      </c>
    </row>
    <row r="41" spans="2:15">
      <c r="B41" s="601" t="s">
        <v>3</v>
      </c>
      <c r="C41" s="601" t="s">
        <v>4</v>
      </c>
      <c r="D41" s="601" t="s">
        <v>3</v>
      </c>
      <c r="E41" s="601" t="s">
        <v>4</v>
      </c>
      <c r="F41" s="601" t="s">
        <v>3</v>
      </c>
      <c r="G41" s="616" t="str">
        <f>'Annex3_Reagents and Consumables'!B106</f>
        <v>Consumable</v>
      </c>
      <c r="H41" s="617" t="str">
        <f>'Annex3_Reagents and Consumables'!C106</f>
        <v>50mL conical tubes (100)</v>
      </c>
      <c r="I41" s="618">
        <f>IFERROR(VLOOKUP(H41,'Annex3_Reagents and Consumables'!$C$93:$J$129,7,FALSE),0)</f>
        <v>6</v>
      </c>
      <c r="J41" s="615">
        <f>IFERROR(VLOOKUP(H41,'Annex3_Reagents and Consumables'!$C$93:$J$129,8,FALSE),0)</f>
        <v>160.79999999999998</v>
      </c>
      <c r="K41" s="158">
        <f t="shared" si="5"/>
        <v>964.8</v>
      </c>
      <c r="L41" s="142">
        <f t="shared" si="4"/>
        <v>482.4</v>
      </c>
      <c r="O41" s="162">
        <f t="shared" si="6"/>
        <v>0</v>
      </c>
    </row>
    <row r="42" spans="2:15">
      <c r="B42" s="601" t="s">
        <v>3</v>
      </c>
      <c r="C42" s="601" t="s">
        <v>4</v>
      </c>
      <c r="D42" s="601" t="s">
        <v>3</v>
      </c>
      <c r="E42" s="601" t="s">
        <v>3</v>
      </c>
      <c r="F42" s="601" t="s">
        <v>3</v>
      </c>
      <c r="G42" s="616" t="str">
        <f>'Annex3_Reagents and Consumables'!B110</f>
        <v>Reagent</v>
      </c>
      <c r="H42" s="617" t="str">
        <f>'Annex3_Reagents and Consumables'!C110</f>
        <v>RNA extraction kit (250 reactions)</v>
      </c>
      <c r="I42" s="618">
        <f>IFERROR(VLOOKUP(H42,'Annex3_Reagents and Consumables'!$C$93:$J$129,7,FALSE),0)</f>
        <v>5</v>
      </c>
      <c r="J42" s="615">
        <f>IFERROR(VLOOKUP(H42,'Annex3_Reagents and Consumables'!$C$93:$J$129,8,FALSE),0)</f>
        <v>722.59199999999998</v>
      </c>
      <c r="K42" s="158">
        <f t="shared" si="5"/>
        <v>3612.96</v>
      </c>
      <c r="L42" s="142">
        <f t="shared" si="4"/>
        <v>3612.96</v>
      </c>
      <c r="O42" s="162">
        <f t="shared" si="6"/>
        <v>0</v>
      </c>
    </row>
    <row r="43" spans="2:15">
      <c r="B43" s="601" t="s">
        <v>3</v>
      </c>
      <c r="C43" s="601" t="s">
        <v>3</v>
      </c>
      <c r="D43" s="601" t="s">
        <v>4</v>
      </c>
      <c r="E43" s="601" t="s">
        <v>3</v>
      </c>
      <c r="F43" s="601" t="s">
        <v>3</v>
      </c>
      <c r="G43" s="616" t="str">
        <f>'Annex3_Reagents and Consumables'!B111</f>
        <v>Reagent</v>
      </c>
      <c r="H43" s="617" t="str">
        <f>'Annex3_Reagents and Consumables'!C111</f>
        <v>PCR testing kit (96 reactions)</v>
      </c>
      <c r="I43" s="618">
        <f>IFERROR(VLOOKUP(H43,'Annex3_Reagents and Consumables'!$C$93:$J$129,7,FALSE),0)</f>
        <v>11</v>
      </c>
      <c r="J43" s="615">
        <f>IFERROR(VLOOKUP(H43,'Annex3_Reagents and Consumables'!$C$93:$J$129,8,FALSE),0)</f>
        <v>384</v>
      </c>
      <c r="K43" s="158">
        <f t="shared" si="5"/>
        <v>4224</v>
      </c>
      <c r="L43" s="142">
        <f t="shared" si="4"/>
        <v>4224</v>
      </c>
      <c r="O43" s="162">
        <f t="shared" si="6"/>
        <v>0</v>
      </c>
    </row>
    <row r="44" spans="2:15">
      <c r="B44" s="601" t="s">
        <v>3</v>
      </c>
      <c r="C44" s="601" t="s">
        <v>3</v>
      </c>
      <c r="D44" s="601" t="s">
        <v>3</v>
      </c>
      <c r="E44" s="601" t="s">
        <v>4</v>
      </c>
      <c r="F44" s="601" t="s">
        <v>3</v>
      </c>
      <c r="G44" s="616" t="str">
        <f>'Annex3_Reagents and Consumables'!B113</f>
        <v>Reagent</v>
      </c>
      <c r="H44" s="617" t="str">
        <f>'Annex3_Reagents and Consumables'!C113</f>
        <v>Fluorometer DNA HS assay kit (500)</v>
      </c>
      <c r="I44" s="618">
        <f>IFERROR(VLOOKUP(H44,'Annex3_Reagents and Consumables'!$C$93:$J$129,7,FALSE),0)</f>
        <v>3</v>
      </c>
      <c r="J44" s="615">
        <f>IFERROR(VLOOKUP(H44,'Annex3_Reagents and Consumables'!$C$93:$J$129,8,FALSE),0)</f>
        <v>210.54</v>
      </c>
      <c r="K44" s="158">
        <f t="shared" si="5"/>
        <v>631.62</v>
      </c>
      <c r="L44" s="142">
        <f t="shared" si="4"/>
        <v>631.62</v>
      </c>
      <c r="O44" s="162">
        <f t="shared" si="6"/>
        <v>0</v>
      </c>
    </row>
    <row r="45" spans="2:15">
      <c r="B45" s="601" t="s">
        <v>3</v>
      </c>
      <c r="C45" s="601" t="s">
        <v>3</v>
      </c>
      <c r="D45" s="601" t="s">
        <v>3</v>
      </c>
      <c r="E45" s="601" t="s">
        <v>4</v>
      </c>
      <c r="F45" s="601" t="s">
        <v>3</v>
      </c>
      <c r="G45" s="616" t="str">
        <f>'Annex3_Reagents and Consumables'!B114</f>
        <v>Consumable</v>
      </c>
      <c r="H45" s="617" t="str">
        <f>'Annex3_Reagents and Consumables'!C114</f>
        <v>Fluorometer assay tubes (500)</v>
      </c>
      <c r="I45" s="618">
        <f>IFERROR(VLOOKUP(H45,'Annex3_Reagents and Consumables'!$C$93:$J$129,7,FALSE),0)</f>
        <v>3</v>
      </c>
      <c r="J45" s="615">
        <f>IFERROR(VLOOKUP(H45,'Annex3_Reagents and Consumables'!$C$93:$J$129,8,FALSE),0)</f>
        <v>82</v>
      </c>
      <c r="K45" s="158">
        <f t="shared" si="5"/>
        <v>246</v>
      </c>
      <c r="L45" s="142">
        <f t="shared" si="4"/>
        <v>246</v>
      </c>
      <c r="O45" s="162">
        <f t="shared" si="6"/>
        <v>0</v>
      </c>
    </row>
    <row r="46" spans="2:15">
      <c r="B46" s="601" t="s">
        <v>3</v>
      </c>
      <c r="C46" s="601" t="s">
        <v>4</v>
      </c>
      <c r="D46" s="601" t="s">
        <v>4</v>
      </c>
      <c r="E46" s="601" t="s">
        <v>4</v>
      </c>
      <c r="F46" s="601" t="s">
        <v>4</v>
      </c>
      <c r="G46" s="616" t="str">
        <f>'Annex3_Reagents and Consumables'!B123</f>
        <v>Reagent</v>
      </c>
      <c r="H46" s="617" t="str">
        <f>'Annex3_Reagents and Consumables'!C123</f>
        <v>(Molecular grade) nuclease free H2O</v>
      </c>
      <c r="I46" s="618">
        <f>IFERROR(VLOOKUP(H46,'Annex3_Reagents and Consumables'!$C$93:$J$129,7,FALSE),0)</f>
        <v>6</v>
      </c>
      <c r="J46" s="615">
        <f>IFERROR(VLOOKUP(H46,'Annex3_Reagents and Consumables'!$C$93:$J$129,8,FALSE),0)</f>
        <v>123.6</v>
      </c>
      <c r="K46" s="158">
        <f t="shared" si="5"/>
        <v>741.59999999999991</v>
      </c>
      <c r="L46" s="142">
        <f t="shared" si="4"/>
        <v>185.39999999999998</v>
      </c>
      <c r="O46" s="162">
        <f t="shared" si="6"/>
        <v>0</v>
      </c>
    </row>
    <row r="47" spans="2:15">
      <c r="B47" s="601" t="s">
        <v>3</v>
      </c>
      <c r="C47" s="601" t="s">
        <v>4</v>
      </c>
      <c r="D47" s="601" t="s">
        <v>3</v>
      </c>
      <c r="E47" s="601" t="s">
        <v>4</v>
      </c>
      <c r="F47" s="601" t="s">
        <v>3</v>
      </c>
      <c r="G47" s="616" t="str">
        <f>'Annex3_Reagents and Consumables'!B122</f>
        <v>Reagent</v>
      </c>
      <c r="H47" s="617" t="str">
        <f>'Annex3_Reagents and Consumables'!C122</f>
        <v>Ethanol, 99% lab grade, 1L</v>
      </c>
      <c r="I47" s="618">
        <f>IFERROR(VLOOKUP(H47,'Annex3_Reagents and Consumables'!$C$93:$J$129,7,FALSE),0)</f>
        <v>2</v>
      </c>
      <c r="J47" s="615">
        <f>IFERROR(VLOOKUP(H47,'Annex3_Reagents and Consumables'!$C$93:$J$129,8,FALSE),0)</f>
        <v>222.5</v>
      </c>
      <c r="K47" s="158">
        <f t="shared" si="5"/>
        <v>445</v>
      </c>
      <c r="L47" s="142">
        <f t="shared" si="4"/>
        <v>222.5</v>
      </c>
      <c r="O47" s="162">
        <f t="shared" si="6"/>
        <v>0</v>
      </c>
    </row>
    <row r="48" spans="2:15">
      <c r="B48" s="601" t="s">
        <v>3</v>
      </c>
      <c r="C48" s="601" t="s">
        <v>3</v>
      </c>
      <c r="D48" s="601" t="s">
        <v>3</v>
      </c>
      <c r="E48" s="601" t="s">
        <v>4</v>
      </c>
      <c r="F48" s="601" t="s">
        <v>3</v>
      </c>
      <c r="G48" s="616" t="str">
        <f>'Annex3_Reagents and Consumables'!B118</f>
        <v>Consumable</v>
      </c>
      <c r="H48" s="617" t="str">
        <f>'Annex3_Reagents and Consumables'!C118</f>
        <v>Reagent reservoir, sterile (pack of 50)</v>
      </c>
      <c r="I48" s="618">
        <f>IFERROR(VLOOKUP(H48,'Annex3_Reagents and Consumables'!$C$93:$J$129,7,FALSE),0)</f>
        <v>2</v>
      </c>
      <c r="J48" s="615">
        <f>IFERROR(VLOOKUP(H48,'Annex3_Reagents and Consumables'!$C$93:$J$129,8,FALSE),0)</f>
        <v>141</v>
      </c>
      <c r="K48" s="158">
        <f t="shared" si="5"/>
        <v>282</v>
      </c>
      <c r="L48" s="142">
        <f t="shared" si="4"/>
        <v>282</v>
      </c>
      <c r="O48" s="162">
        <f t="shared" si="6"/>
        <v>0</v>
      </c>
    </row>
    <row r="49" spans="2:15">
      <c r="B49" s="601" t="s">
        <v>3</v>
      </c>
      <c r="C49" s="601" t="s">
        <v>3</v>
      </c>
      <c r="D49" s="601" t="s">
        <v>3</v>
      </c>
      <c r="E49" s="601" t="s">
        <v>3</v>
      </c>
      <c r="F49" s="601" t="s">
        <v>4</v>
      </c>
      <c r="G49" s="616" t="str">
        <f>'Annex3_Reagents and Consumables'!B119</f>
        <v>Reagent</v>
      </c>
      <c r="H49" s="617" t="str">
        <f>'Annex3_Reagents and Consumables'!C119</f>
        <v>NaOH, 1N 100mL</v>
      </c>
      <c r="I49" s="618">
        <f>IFERROR(VLOOKUP(H49,'Annex3_Reagents and Consumables'!$C$93:$J$129,7,FALSE),0)</f>
        <v>1</v>
      </c>
      <c r="J49" s="615">
        <f>IFERROR(VLOOKUP(H49,'Annex3_Reagents and Consumables'!$C$93:$J$129,8,FALSE),0)</f>
        <v>133.1</v>
      </c>
      <c r="K49" s="158">
        <f t="shared" si="5"/>
        <v>133.1</v>
      </c>
      <c r="L49" s="142">
        <f t="shared" si="4"/>
        <v>133.1</v>
      </c>
      <c r="O49" s="162">
        <f t="shared" si="6"/>
        <v>0</v>
      </c>
    </row>
    <row r="50" spans="2:15">
      <c r="B50" s="601" t="s">
        <v>3</v>
      </c>
      <c r="C50" s="601" t="s">
        <v>3</v>
      </c>
      <c r="D50" s="601" t="s">
        <v>3</v>
      </c>
      <c r="E50" s="601" t="s">
        <v>3</v>
      </c>
      <c r="F50" s="601" t="s">
        <v>4</v>
      </c>
      <c r="G50" s="616" t="str">
        <f>'Annex3_Reagents and Consumables'!B120</f>
        <v>Reagent</v>
      </c>
      <c r="H50" s="617" t="str">
        <f>'Annex3_Reagents and Consumables'!C120</f>
        <v>Bleach, lab grade (4-6%, 1L)</v>
      </c>
      <c r="I50" s="618">
        <f>IFERROR(VLOOKUP(H50,'Annex3_Reagents and Consumables'!$C$93:$J$129,7,FALSE),0)</f>
        <v>1</v>
      </c>
      <c r="J50" s="615">
        <f>IFERROR(VLOOKUP(H50,'Annex3_Reagents and Consumables'!$C$93:$J$129,8,FALSE),0)</f>
        <v>136.6</v>
      </c>
      <c r="K50" s="158">
        <f t="shared" si="5"/>
        <v>136.6</v>
      </c>
      <c r="L50" s="142">
        <f t="shared" si="4"/>
        <v>136.6</v>
      </c>
      <c r="O50" s="162">
        <f t="shared" si="6"/>
        <v>0</v>
      </c>
    </row>
    <row r="51" spans="2:15">
      <c r="B51" s="601" t="s">
        <v>3</v>
      </c>
      <c r="C51" s="601" t="s">
        <v>3</v>
      </c>
      <c r="D51" s="601" t="s">
        <v>3</v>
      </c>
      <c r="E51" s="601" t="s">
        <v>3</v>
      </c>
      <c r="F51" s="601" t="s">
        <v>4</v>
      </c>
      <c r="G51" s="616" t="str">
        <f>'Annex3_Reagents and Consumables'!B121</f>
        <v>Reagent</v>
      </c>
      <c r="H51" s="617" t="str">
        <f>'Annex3_Reagents and Consumables'!C121</f>
        <v>Tween 20, 500 mL</v>
      </c>
      <c r="I51" s="618">
        <f>IFERROR(VLOOKUP(H51,'Annex3_Reagents and Consumables'!$C$93:$J$129,7,FALSE),0)</f>
        <v>2</v>
      </c>
      <c r="J51" s="615">
        <f>IFERROR(VLOOKUP(H51,'Annex3_Reagents and Consumables'!$C$93:$J$129,8,FALSE),0)</f>
        <v>50.4</v>
      </c>
      <c r="K51" s="158">
        <f t="shared" si="5"/>
        <v>100.8</v>
      </c>
      <c r="L51" s="142">
        <f t="shared" si="4"/>
        <v>100.8</v>
      </c>
      <c r="O51" s="162">
        <f t="shared" si="6"/>
        <v>0</v>
      </c>
    </row>
    <row r="52" spans="2:15">
      <c r="B52" s="601" t="s">
        <v>3</v>
      </c>
      <c r="C52" s="601" t="s">
        <v>3</v>
      </c>
      <c r="D52" s="601" t="s">
        <v>4</v>
      </c>
      <c r="E52" s="601" t="s">
        <v>3</v>
      </c>
      <c r="F52" s="601" t="s">
        <v>3</v>
      </c>
      <c r="G52" s="616" t="str">
        <f>'Annex3_Reagents and Consumables'!B125</f>
        <v>Reagent</v>
      </c>
      <c r="H52" s="617" t="str">
        <f>'Annex3_Reagents and Consumables'!$C$125</f>
        <v>Q5 Hot Start HiFi DNA Polymerase (500 units)</v>
      </c>
      <c r="I52" s="618">
        <f>IFERROR(VLOOKUP(H52,'Annex3_Reagents and Consumables'!$C$93:$J$129,7,FALSE),0)</f>
        <v>3</v>
      </c>
      <c r="J52" s="615">
        <f>IFERROR(VLOOKUP(H52,'Annex3_Reagents and Consumables'!$C$93:$J$129,8,FALSE),0)</f>
        <v>600</v>
      </c>
      <c r="K52" s="158">
        <f t="shared" si="5"/>
        <v>1800</v>
      </c>
      <c r="L52" s="142">
        <f t="shared" si="4"/>
        <v>1800</v>
      </c>
      <c r="O52" s="162">
        <f t="shared" si="6"/>
        <v>0</v>
      </c>
    </row>
    <row r="53" spans="2:15">
      <c r="B53" s="601" t="s">
        <v>3</v>
      </c>
      <c r="C53" s="601" t="s">
        <v>3</v>
      </c>
      <c r="D53" s="601" t="s">
        <v>4</v>
      </c>
      <c r="E53" s="601" t="s">
        <v>3</v>
      </c>
      <c r="F53" s="601" t="s">
        <v>3</v>
      </c>
      <c r="G53" s="616" t="str">
        <f>'Annex3_Reagents and Consumables'!B126</f>
        <v>Reagent</v>
      </c>
      <c r="H53" s="617" t="str">
        <f>'Annex3_Reagents and Consumables'!$C$126</f>
        <v>10mM dNTP (5x1mL)</v>
      </c>
      <c r="I53" s="618">
        <f>IFERROR(VLOOKUP(H53,'Annex3_Reagents and Consumables'!$C$93:$J$129,7,FALSE),0)</f>
        <v>2</v>
      </c>
      <c r="J53" s="615">
        <f>IFERROR(VLOOKUP(H53,'Annex3_Reagents and Consumables'!$C$93:$J$129,8,FALSE),0)</f>
        <v>1040</v>
      </c>
      <c r="K53" s="158">
        <f t="shared" si="5"/>
        <v>2080</v>
      </c>
      <c r="L53" s="142">
        <f t="shared" si="4"/>
        <v>2080</v>
      </c>
      <c r="O53" s="162">
        <f t="shared" si="6"/>
        <v>0</v>
      </c>
    </row>
    <row r="54" spans="2:15">
      <c r="B54" s="601" t="s">
        <v>3</v>
      </c>
      <c r="C54" s="601" t="s">
        <v>3</v>
      </c>
      <c r="D54" s="601" t="s">
        <v>4</v>
      </c>
      <c r="E54" s="601" t="s">
        <v>3</v>
      </c>
      <c r="F54" s="601" t="s">
        <v>3</v>
      </c>
      <c r="G54" s="616" t="str">
        <f>'Annex3_Reagents and Consumables'!B127</f>
        <v>Reagent</v>
      </c>
      <c r="H54" s="617" t="str">
        <f>'Annex3_Reagents and Consumables'!$C$127</f>
        <v>dS DNA HS assay kit for fluoremeter (500)</v>
      </c>
      <c r="I54" s="618">
        <f>IFERROR(VLOOKUP(H54,'Annex3_Reagents and Consumables'!$C$93:$J$129,7,FALSE),0)</f>
        <v>3</v>
      </c>
      <c r="J54" s="615">
        <f>IFERROR(VLOOKUP(H54,'Annex3_Reagents and Consumables'!$C$93:$J$129,8,FALSE),0)</f>
        <v>193</v>
      </c>
      <c r="K54" s="158">
        <f t="shared" si="5"/>
        <v>579</v>
      </c>
      <c r="L54" s="142">
        <f t="shared" si="4"/>
        <v>579</v>
      </c>
      <c r="O54" s="162">
        <f t="shared" si="6"/>
        <v>0</v>
      </c>
    </row>
    <row r="55" spans="2:15">
      <c r="B55" s="601" t="s">
        <v>3</v>
      </c>
      <c r="C55" s="601" t="s">
        <v>3</v>
      </c>
      <c r="D55" s="601" t="s">
        <v>4</v>
      </c>
      <c r="E55" s="601" t="s">
        <v>3</v>
      </c>
      <c r="F55" s="601" t="s">
        <v>3</v>
      </c>
      <c r="G55" s="616" t="str">
        <f>'Annex3_Reagents and Consumables'!B128</f>
        <v>Reagent</v>
      </c>
      <c r="H55" s="617" t="str">
        <f>'Annex3_Reagents and Consumables'!$C$128</f>
        <v>High sensitivity DNA assay kit for bioanalyser (110 samples)</v>
      </c>
      <c r="I55" s="618">
        <f>IFERROR(VLOOKUP(H55,'Annex3_Reagents and Consumables'!$C$93:$J$129,7,FALSE),0)</f>
        <v>8</v>
      </c>
      <c r="J55" s="615">
        <f>IFERROR(VLOOKUP(H55,'Annex3_Reagents and Consumables'!$C$93:$J$129,8,FALSE),0)</f>
        <v>824</v>
      </c>
      <c r="K55" s="158">
        <f t="shared" si="5"/>
        <v>6592</v>
      </c>
      <c r="L55" s="142">
        <f t="shared" si="4"/>
        <v>6592</v>
      </c>
      <c r="O55" s="162">
        <f t="shared" si="6"/>
        <v>0</v>
      </c>
    </row>
    <row r="56" spans="2:15">
      <c r="B56" s="601" t="s">
        <v>3</v>
      </c>
      <c r="C56" s="601" t="s">
        <v>3</v>
      </c>
      <c r="D56" s="601" t="s">
        <v>4</v>
      </c>
      <c r="E56" s="601" t="s">
        <v>3</v>
      </c>
      <c r="F56" s="601" t="s">
        <v>3</v>
      </c>
      <c r="G56" s="616" t="str">
        <f>'Annex3_Reagents and Consumables'!B124</f>
        <v>Reagent</v>
      </c>
      <c r="H56" s="617" t="str">
        <f>'Annex3_Reagents and Consumables'!$C$124</f>
        <v>Universal One-Step RT-qPCR Kit (200 rxns)</v>
      </c>
      <c r="I56" s="618">
        <f>IFERROR(VLOOKUP(H56,'Annex3_Reagents and Consumables'!$C$93:$J$129,7,FALSE),0)</f>
        <v>5</v>
      </c>
      <c r="J56" s="615">
        <f>IFERROR(VLOOKUP(H56,'Annex3_Reagents and Consumables'!$C$93:$J$129,8,FALSE),0)</f>
        <v>345</v>
      </c>
      <c r="K56" s="158">
        <f t="shared" si="5"/>
        <v>1725</v>
      </c>
      <c r="L56" s="142">
        <f t="shared" si="4"/>
        <v>1725</v>
      </c>
      <c r="O56" s="162">
        <f t="shared" si="6"/>
        <v>0</v>
      </c>
    </row>
    <row r="57" spans="2:15">
      <c r="B57" s="601" t="s">
        <v>3</v>
      </c>
      <c r="C57" s="601" t="s">
        <v>3</v>
      </c>
      <c r="D57" s="601" t="s">
        <v>3</v>
      </c>
      <c r="E57" s="601" t="s">
        <v>4</v>
      </c>
      <c r="F57" s="601" t="s">
        <v>3</v>
      </c>
      <c r="G57" s="694" t="str">
        <f>'Annex3_Reagents and Consumables'!B127</f>
        <v>Reagent</v>
      </c>
      <c r="H57" s="612" t="str">
        <f>IF('Annex1_Library Prep'!$M$5=TRUE,'Annex3_Reagents and Consumables'!$C$129, IF('Annex1_Library Prep'!$Q$5=TRUE,'Annex3_Reagents and Consumables'!$C$129,""))</f>
        <v xml:space="preserve">ONT Flow cell wash kit </v>
      </c>
      <c r="I57" s="695"/>
      <c r="J57" s="614">
        <f>IFERROR(VLOOKUP(H57,'Annex3_Reagents and Consumables'!$C$93:$J$129,8,FALSE),0)</f>
        <v>99</v>
      </c>
      <c r="K57" s="158">
        <f>IFERROR(I57*J57,0)</f>
        <v>0</v>
      </c>
      <c r="L57" s="142">
        <f t="shared" si="4"/>
        <v>0</v>
      </c>
      <c r="O57" s="162">
        <f t="shared" si="6"/>
        <v>0</v>
      </c>
    </row>
    <row r="58" spans="2:15">
      <c r="B58" s="601"/>
      <c r="C58" s="601"/>
      <c r="D58" s="601"/>
      <c r="E58" s="601"/>
      <c r="F58" s="601"/>
      <c r="G58" s="696"/>
      <c r="H58" s="105"/>
      <c r="I58" s="695"/>
      <c r="J58" s="94"/>
      <c r="K58" s="158">
        <f>IFERROR(I58*J58,0)</f>
        <v>0</v>
      </c>
      <c r="L58" s="142">
        <f t="shared" si="4"/>
        <v>0</v>
      </c>
      <c r="O58" s="162">
        <f t="shared" si="6"/>
        <v>0</v>
      </c>
    </row>
    <row r="59" spans="2:15">
      <c r="B59" s="601"/>
      <c r="C59" s="601"/>
      <c r="D59" s="601"/>
      <c r="E59" s="601"/>
      <c r="F59" s="601"/>
      <c r="G59" s="696"/>
      <c r="H59" s="105"/>
      <c r="I59" s="695"/>
      <c r="J59" s="94"/>
      <c r="K59" s="158">
        <f t="shared" si="5"/>
        <v>0</v>
      </c>
      <c r="L59" s="142">
        <f t="shared" si="4"/>
        <v>0</v>
      </c>
      <c r="O59" s="162">
        <f t="shared" si="6"/>
        <v>0</v>
      </c>
    </row>
    <row r="60" spans="2:15">
      <c r="B60" s="601"/>
      <c r="C60" s="601"/>
      <c r="D60" s="601"/>
      <c r="E60" s="601"/>
      <c r="F60" s="601"/>
      <c r="G60" s="696"/>
      <c r="H60" s="105"/>
      <c r="I60" s="695"/>
      <c r="J60" s="94"/>
      <c r="K60" s="158">
        <f t="shared" si="5"/>
        <v>0</v>
      </c>
      <c r="L60" s="142">
        <f t="shared" si="4"/>
        <v>0</v>
      </c>
      <c r="O60" s="162">
        <f t="shared" si="6"/>
        <v>0</v>
      </c>
    </row>
    <row r="61" spans="2:15">
      <c r="B61" s="601"/>
      <c r="C61" s="601"/>
      <c r="D61" s="601"/>
      <c r="E61" s="601"/>
      <c r="F61" s="601"/>
      <c r="G61" s="696"/>
      <c r="H61" s="105"/>
      <c r="I61" s="695"/>
      <c r="J61" s="94"/>
      <c r="K61" s="158">
        <f t="shared" si="5"/>
        <v>0</v>
      </c>
      <c r="L61" s="142">
        <f t="shared" si="4"/>
        <v>0</v>
      </c>
      <c r="O61" s="162">
        <f t="shared" si="6"/>
        <v>0</v>
      </c>
    </row>
    <row r="62" spans="2:15">
      <c r="B62" s="601"/>
      <c r="C62" s="601"/>
      <c r="D62" s="601"/>
      <c r="E62" s="601"/>
      <c r="F62" s="601"/>
      <c r="G62" s="696"/>
      <c r="H62" s="105"/>
      <c r="I62" s="695"/>
      <c r="J62" s="94"/>
      <c r="K62" s="158">
        <f t="shared" si="5"/>
        <v>0</v>
      </c>
      <c r="L62" s="142">
        <f t="shared" si="4"/>
        <v>0</v>
      </c>
      <c r="O62" s="162">
        <f t="shared" si="6"/>
        <v>0</v>
      </c>
    </row>
    <row r="63" spans="2:15">
      <c r="B63" s="601"/>
      <c r="C63" s="601"/>
      <c r="D63" s="601"/>
      <c r="E63" s="601"/>
      <c r="F63" s="601"/>
      <c r="G63" s="696"/>
      <c r="H63" s="105"/>
      <c r="I63" s="695"/>
      <c r="J63" s="94"/>
      <c r="K63" s="158">
        <f t="shared" si="5"/>
        <v>0</v>
      </c>
      <c r="L63" s="142">
        <f t="shared" si="4"/>
        <v>0</v>
      </c>
      <c r="O63" s="162">
        <f t="shared" si="6"/>
        <v>0</v>
      </c>
    </row>
    <row r="64" spans="2:15">
      <c r="B64" s="601"/>
      <c r="C64" s="601"/>
      <c r="D64" s="601"/>
      <c r="E64" s="601"/>
      <c r="F64" s="601"/>
      <c r="G64" s="696"/>
      <c r="H64" s="105"/>
      <c r="I64" s="695"/>
      <c r="J64" s="94"/>
      <c r="K64" s="158">
        <f t="shared" si="5"/>
        <v>0</v>
      </c>
      <c r="L64" s="142">
        <f t="shared" si="4"/>
        <v>0</v>
      </c>
      <c r="O64" s="162">
        <f t="shared" si="6"/>
        <v>0</v>
      </c>
    </row>
    <row r="65" spans="2:15">
      <c r="B65" s="601"/>
      <c r="C65" s="601"/>
      <c r="D65" s="601"/>
      <c r="E65" s="601"/>
      <c r="F65" s="601"/>
      <c r="G65" s="696"/>
      <c r="H65" s="105"/>
      <c r="I65" s="695"/>
      <c r="J65" s="94"/>
      <c r="K65" s="158">
        <f t="shared" si="5"/>
        <v>0</v>
      </c>
      <c r="L65" s="142">
        <f t="shared" si="4"/>
        <v>0</v>
      </c>
      <c r="O65" s="162">
        <f t="shared" si="6"/>
        <v>0</v>
      </c>
    </row>
    <row r="66" spans="2:15">
      <c r="B66" s="601"/>
      <c r="C66" s="601"/>
      <c r="D66" s="601"/>
      <c r="E66" s="601"/>
      <c r="F66" s="601"/>
      <c r="G66" s="696"/>
      <c r="H66" s="105"/>
      <c r="I66" s="695"/>
      <c r="J66" s="94"/>
      <c r="K66" s="158">
        <f t="shared" si="5"/>
        <v>0</v>
      </c>
      <c r="L66" s="142">
        <f t="shared" si="4"/>
        <v>0</v>
      </c>
      <c r="O66" s="162">
        <f t="shared" si="6"/>
        <v>0</v>
      </c>
    </row>
    <row r="67" spans="2:15">
      <c r="B67" s="601"/>
      <c r="C67" s="601"/>
      <c r="D67" s="601"/>
      <c r="E67" s="601"/>
      <c r="F67" s="601"/>
      <c r="G67" s="696"/>
      <c r="H67" s="105"/>
      <c r="I67" s="695"/>
      <c r="J67" s="94"/>
      <c r="K67" s="158">
        <f t="shared" si="5"/>
        <v>0</v>
      </c>
      <c r="L67" s="142">
        <f t="shared" si="4"/>
        <v>0</v>
      </c>
      <c r="O67" s="162">
        <f t="shared" si="6"/>
        <v>0</v>
      </c>
    </row>
    <row r="68" spans="2:15">
      <c r="B68" s="601"/>
      <c r="C68" s="601"/>
      <c r="D68" s="601"/>
      <c r="E68" s="601"/>
      <c r="F68" s="601"/>
      <c r="G68" s="696"/>
      <c r="H68" s="105"/>
      <c r="I68" s="695"/>
      <c r="J68" s="94"/>
      <c r="K68" s="158">
        <f t="shared" si="5"/>
        <v>0</v>
      </c>
      <c r="L68" s="142">
        <f t="shared" si="4"/>
        <v>0</v>
      </c>
      <c r="O68" s="162">
        <f t="shared" si="6"/>
        <v>0</v>
      </c>
    </row>
    <row r="69" spans="2:15">
      <c r="B69" s="601"/>
      <c r="C69" s="601"/>
      <c r="D69" s="601"/>
      <c r="E69" s="601"/>
      <c r="F69" s="601"/>
      <c r="G69" s="696"/>
      <c r="H69" s="105"/>
      <c r="I69" s="695"/>
      <c r="J69" s="94"/>
      <c r="K69" s="158">
        <f t="shared" si="5"/>
        <v>0</v>
      </c>
      <c r="L69" s="142">
        <f t="shared" si="4"/>
        <v>0</v>
      </c>
      <c r="O69" s="162">
        <f t="shared" si="6"/>
        <v>0</v>
      </c>
    </row>
    <row r="70" spans="2:15">
      <c r="B70" s="601"/>
      <c r="C70" s="601"/>
      <c r="D70" s="601"/>
      <c r="E70" s="601"/>
      <c r="F70" s="601"/>
      <c r="G70" s="696"/>
      <c r="H70" s="105"/>
      <c r="I70" s="695"/>
      <c r="J70" s="94"/>
      <c r="K70" s="158">
        <f t="shared" si="5"/>
        <v>0</v>
      </c>
      <c r="L70" s="142">
        <f t="shared" si="4"/>
        <v>0</v>
      </c>
      <c r="O70" s="162">
        <f t="shared" si="6"/>
        <v>0</v>
      </c>
    </row>
    <row r="71" spans="2:15">
      <c r="B71" s="601"/>
      <c r="C71" s="601"/>
      <c r="D71" s="601"/>
      <c r="E71" s="601"/>
      <c r="F71" s="601"/>
      <c r="G71" s="696"/>
      <c r="H71" s="105"/>
      <c r="I71" s="695"/>
      <c r="J71" s="94"/>
      <c r="K71" s="158">
        <f t="shared" si="5"/>
        <v>0</v>
      </c>
      <c r="L71" s="142">
        <f t="shared" si="4"/>
        <v>0</v>
      </c>
      <c r="O71" s="162">
        <f t="shared" si="6"/>
        <v>0</v>
      </c>
    </row>
    <row r="72" spans="2:15">
      <c r="B72" s="601"/>
      <c r="C72" s="601"/>
      <c r="D72" s="601"/>
      <c r="E72" s="601"/>
      <c r="F72" s="601"/>
      <c r="G72" s="696"/>
      <c r="H72" s="105"/>
      <c r="I72" s="695"/>
      <c r="J72" s="94"/>
      <c r="K72" s="158">
        <f t="shared" si="5"/>
        <v>0</v>
      </c>
      <c r="L72" s="142">
        <f t="shared" si="4"/>
        <v>0</v>
      </c>
      <c r="O72" s="162">
        <f t="shared" si="6"/>
        <v>0</v>
      </c>
    </row>
    <row r="73" spans="2:15">
      <c r="B73" s="601"/>
      <c r="C73" s="601"/>
      <c r="D73" s="601"/>
      <c r="E73" s="601"/>
      <c r="F73" s="601"/>
      <c r="G73" s="696"/>
      <c r="H73" s="105"/>
      <c r="I73" s="695"/>
      <c r="J73" s="94"/>
      <c r="K73" s="158">
        <f t="shared" si="5"/>
        <v>0</v>
      </c>
      <c r="L73" s="142">
        <f t="shared" si="4"/>
        <v>0</v>
      </c>
      <c r="O73" s="162">
        <f t="shared" si="6"/>
        <v>0</v>
      </c>
    </row>
    <row r="74" spans="2:15">
      <c r="B74" s="601"/>
      <c r="C74" s="601"/>
      <c r="D74" s="601"/>
      <c r="E74" s="601"/>
      <c r="F74" s="601"/>
      <c r="G74" s="696"/>
      <c r="H74" s="105"/>
      <c r="I74" s="695"/>
      <c r="J74" s="94"/>
      <c r="K74" s="158">
        <f t="shared" si="5"/>
        <v>0</v>
      </c>
      <c r="L74" s="142">
        <f t="shared" si="4"/>
        <v>0</v>
      </c>
      <c r="O74" s="162">
        <f t="shared" si="6"/>
        <v>0</v>
      </c>
    </row>
    <row r="75" spans="2:15">
      <c r="B75" s="601"/>
      <c r="C75" s="601"/>
      <c r="D75" s="601"/>
      <c r="E75" s="601"/>
      <c r="F75" s="601"/>
      <c r="G75" s="696"/>
      <c r="H75" s="105"/>
      <c r="I75" s="695"/>
      <c r="J75" s="94"/>
      <c r="K75" s="158">
        <f t="shared" si="5"/>
        <v>0</v>
      </c>
      <c r="L75" s="142">
        <f t="shared" si="4"/>
        <v>0</v>
      </c>
      <c r="O75" s="162">
        <f t="shared" si="6"/>
        <v>0</v>
      </c>
    </row>
    <row r="76" spans="2:15">
      <c r="B76" s="601"/>
      <c r="C76" s="601"/>
      <c r="D76" s="601"/>
      <c r="E76" s="601"/>
      <c r="F76" s="601"/>
      <c r="G76" s="696"/>
      <c r="H76" s="105"/>
      <c r="I76" s="695"/>
      <c r="J76" s="94"/>
      <c r="K76" s="158">
        <f t="shared" si="5"/>
        <v>0</v>
      </c>
      <c r="L76" s="142">
        <f t="shared" si="4"/>
        <v>0</v>
      </c>
      <c r="O76" s="162">
        <f t="shared" si="6"/>
        <v>0</v>
      </c>
    </row>
    <row r="77" spans="2:15">
      <c r="B77" s="601"/>
      <c r="C77" s="601"/>
      <c r="D77" s="601"/>
      <c r="E77" s="601"/>
      <c r="F77" s="601"/>
      <c r="G77" s="696"/>
      <c r="H77" s="105"/>
      <c r="I77" s="695"/>
      <c r="J77" s="94"/>
      <c r="K77" s="158">
        <f t="shared" si="5"/>
        <v>0</v>
      </c>
      <c r="L77" s="142">
        <f t="shared" si="4"/>
        <v>0</v>
      </c>
      <c r="O77" s="162">
        <f t="shared" si="6"/>
        <v>0</v>
      </c>
    </row>
    <row r="78" spans="2:15">
      <c r="B78" s="601"/>
      <c r="C78" s="601"/>
      <c r="D78" s="601"/>
      <c r="E78" s="601"/>
      <c r="F78" s="601"/>
      <c r="G78" s="696"/>
      <c r="H78" s="105"/>
      <c r="I78" s="695"/>
      <c r="J78" s="94"/>
      <c r="K78" s="158">
        <f t="shared" si="5"/>
        <v>0</v>
      </c>
      <c r="L78" s="142">
        <f t="shared" si="4"/>
        <v>0</v>
      </c>
      <c r="O78" s="162">
        <f t="shared" si="6"/>
        <v>0</v>
      </c>
    </row>
    <row r="79" spans="2:15">
      <c r="B79" s="601"/>
      <c r="C79" s="601"/>
      <c r="D79" s="601"/>
      <c r="E79" s="601"/>
      <c r="F79" s="601"/>
      <c r="G79" s="696"/>
      <c r="H79" s="105"/>
      <c r="I79" s="695"/>
      <c r="J79" s="94"/>
      <c r="K79" s="158">
        <f t="shared" si="5"/>
        <v>0</v>
      </c>
      <c r="L79" s="142">
        <f t="shared" si="4"/>
        <v>0</v>
      </c>
      <c r="O79" s="162">
        <f t="shared" si="6"/>
        <v>0</v>
      </c>
    </row>
    <row r="80" spans="2:15">
      <c r="B80" s="601"/>
      <c r="C80" s="601"/>
      <c r="D80" s="601"/>
      <c r="E80" s="601"/>
      <c r="F80" s="601"/>
      <c r="G80" s="696"/>
      <c r="H80" s="105"/>
      <c r="I80" s="695"/>
      <c r="J80" s="94"/>
      <c r="K80" s="158">
        <f t="shared" si="5"/>
        <v>0</v>
      </c>
      <c r="L80" s="142">
        <f t="shared" si="4"/>
        <v>0</v>
      </c>
      <c r="O80" s="162">
        <f t="shared" si="6"/>
        <v>0</v>
      </c>
    </row>
    <row r="81" spans="2:15">
      <c r="B81" s="601"/>
      <c r="C81" s="601"/>
      <c r="D81" s="601"/>
      <c r="E81" s="601"/>
      <c r="F81" s="601"/>
      <c r="G81" s="696"/>
      <c r="H81" s="105"/>
      <c r="I81" s="695"/>
      <c r="J81" s="94"/>
      <c r="K81" s="158">
        <f t="shared" si="5"/>
        <v>0</v>
      </c>
      <c r="L81" s="142">
        <f t="shared" si="4"/>
        <v>0</v>
      </c>
      <c r="O81" s="162">
        <f t="shared" si="6"/>
        <v>0</v>
      </c>
    </row>
    <row r="82" spans="2:15">
      <c r="B82" s="601"/>
      <c r="C82" s="601"/>
      <c r="D82" s="601"/>
      <c r="E82" s="601"/>
      <c r="F82" s="601"/>
      <c r="G82" s="696"/>
      <c r="H82" s="105"/>
      <c r="I82" s="695"/>
      <c r="J82" s="94"/>
      <c r="K82" s="158">
        <f t="shared" si="5"/>
        <v>0</v>
      </c>
      <c r="L82" s="142">
        <f t="shared" si="4"/>
        <v>0</v>
      </c>
      <c r="O82" s="162">
        <f t="shared" si="6"/>
        <v>0</v>
      </c>
    </row>
    <row r="83" spans="2:15">
      <c r="B83" s="601"/>
      <c r="C83" s="601"/>
      <c r="D83" s="601"/>
      <c r="E83" s="601"/>
      <c r="F83" s="601"/>
      <c r="G83" s="696"/>
      <c r="H83" s="105"/>
      <c r="I83" s="695"/>
      <c r="J83" s="94"/>
      <c r="K83" s="158">
        <f t="shared" si="5"/>
        <v>0</v>
      </c>
      <c r="L83" s="142">
        <f t="shared" si="4"/>
        <v>0</v>
      </c>
      <c r="O83" s="162">
        <f t="shared" si="6"/>
        <v>0</v>
      </c>
    </row>
    <row r="84" spans="2:15">
      <c r="B84" s="601"/>
      <c r="C84" s="601"/>
      <c r="D84" s="601"/>
      <c r="E84" s="601"/>
      <c r="F84" s="601"/>
      <c r="G84" s="696"/>
      <c r="H84" s="105"/>
      <c r="I84" s="695"/>
      <c r="J84" s="94"/>
      <c r="K84" s="158">
        <f t="shared" si="5"/>
        <v>0</v>
      </c>
      <c r="L84" s="142">
        <f t="shared" si="4"/>
        <v>0</v>
      </c>
      <c r="O84" s="162">
        <f t="shared" si="6"/>
        <v>0</v>
      </c>
    </row>
    <row r="85" spans="2:15">
      <c r="B85" s="601"/>
      <c r="C85" s="601"/>
      <c r="D85" s="601"/>
      <c r="E85" s="601"/>
      <c r="F85" s="601"/>
      <c r="G85" s="696"/>
      <c r="H85" s="105"/>
      <c r="I85" s="695"/>
      <c r="J85" s="94"/>
      <c r="K85" s="158">
        <f t="shared" si="5"/>
        <v>0</v>
      </c>
      <c r="L85" s="142">
        <f t="shared" si="4"/>
        <v>0</v>
      </c>
      <c r="O85" s="162">
        <f t="shared" si="6"/>
        <v>0</v>
      </c>
    </row>
    <row r="86" spans="2:15">
      <c r="B86" s="601"/>
      <c r="C86" s="601"/>
      <c r="D86" s="601"/>
      <c r="E86" s="601"/>
      <c r="F86" s="601"/>
      <c r="G86" s="696"/>
      <c r="H86" s="105"/>
      <c r="I86" s="695"/>
      <c r="J86" s="94"/>
      <c r="K86" s="158">
        <f t="shared" si="5"/>
        <v>0</v>
      </c>
      <c r="L86" s="142">
        <f t="shared" si="4"/>
        <v>0</v>
      </c>
      <c r="O86" s="162">
        <f t="shared" si="6"/>
        <v>0</v>
      </c>
    </row>
    <row r="87" spans="2:15">
      <c r="B87" s="601"/>
      <c r="C87" s="601"/>
      <c r="D87" s="601"/>
      <c r="E87" s="601"/>
      <c r="F87" s="601"/>
      <c r="G87" s="696"/>
      <c r="H87" s="105"/>
      <c r="I87" s="695"/>
      <c r="J87" s="94"/>
      <c r="K87" s="158">
        <f t="shared" si="5"/>
        <v>0</v>
      </c>
      <c r="L87" s="142">
        <f t="shared" si="4"/>
        <v>0</v>
      </c>
      <c r="O87" s="162">
        <f t="shared" si="6"/>
        <v>0</v>
      </c>
    </row>
    <row r="88" spans="2:15">
      <c r="B88" s="601"/>
      <c r="C88" s="601"/>
      <c r="D88" s="601"/>
      <c r="E88" s="601"/>
      <c r="F88" s="601"/>
      <c r="G88" s="696"/>
      <c r="H88" s="105"/>
      <c r="I88" s="695"/>
      <c r="J88" s="94"/>
      <c r="K88" s="158">
        <f t="shared" si="5"/>
        <v>0</v>
      </c>
      <c r="L88" s="142">
        <f t="shared" si="4"/>
        <v>0</v>
      </c>
      <c r="O88" s="162">
        <f t="shared" si="6"/>
        <v>0</v>
      </c>
    </row>
    <row r="89" spans="2:15">
      <c r="B89" s="601"/>
      <c r="C89" s="601"/>
      <c r="D89" s="601"/>
      <c r="E89" s="601"/>
      <c r="F89" s="601"/>
      <c r="G89" s="696"/>
      <c r="H89" s="105"/>
      <c r="I89" s="695"/>
      <c r="J89" s="94"/>
      <c r="K89" s="158">
        <f t="shared" si="5"/>
        <v>0</v>
      </c>
      <c r="L89" s="142">
        <f t="shared" si="4"/>
        <v>0</v>
      </c>
      <c r="O89" s="162">
        <f t="shared" si="6"/>
        <v>0</v>
      </c>
    </row>
    <row r="90" spans="2:15">
      <c r="B90" s="601"/>
      <c r="C90" s="601"/>
      <c r="D90" s="601"/>
      <c r="E90" s="601"/>
      <c r="F90" s="601"/>
      <c r="G90" s="696"/>
      <c r="H90" s="105"/>
      <c r="I90" s="695"/>
      <c r="J90" s="94"/>
      <c r="K90" s="158">
        <f t="shared" si="5"/>
        <v>0</v>
      </c>
      <c r="L90" s="142">
        <f t="shared" si="4"/>
        <v>0</v>
      </c>
      <c r="O90" s="162">
        <f t="shared" si="6"/>
        <v>0</v>
      </c>
    </row>
    <row r="91" spans="2:15">
      <c r="B91" s="601"/>
      <c r="C91" s="601"/>
      <c r="D91" s="601"/>
      <c r="E91" s="601"/>
      <c r="F91" s="601"/>
      <c r="G91" s="696"/>
      <c r="H91" s="105"/>
      <c r="I91" s="695"/>
      <c r="J91" s="94"/>
      <c r="K91" s="158">
        <f t="shared" si="5"/>
        <v>0</v>
      </c>
      <c r="L91" s="142">
        <f t="shared" si="4"/>
        <v>0</v>
      </c>
      <c r="O91" s="162">
        <f t="shared" si="6"/>
        <v>0</v>
      </c>
    </row>
    <row r="92" spans="2:15">
      <c r="B92" s="601"/>
      <c r="C92" s="601"/>
      <c r="D92" s="601"/>
      <c r="E92" s="601"/>
      <c r="F92" s="601"/>
      <c r="G92" s="696"/>
      <c r="H92" s="105"/>
      <c r="I92" s="695"/>
      <c r="J92" s="94"/>
      <c r="K92" s="158">
        <f t="shared" si="5"/>
        <v>0</v>
      </c>
      <c r="L92" s="142">
        <f t="shared" si="4"/>
        <v>0</v>
      </c>
      <c r="O92" s="162">
        <f t="shared" si="6"/>
        <v>0</v>
      </c>
    </row>
    <row r="93" spans="2:15">
      <c r="B93" s="601"/>
      <c r="C93" s="601"/>
      <c r="D93" s="601"/>
      <c r="E93" s="601"/>
      <c r="F93" s="601"/>
      <c r="G93" s="696"/>
      <c r="H93" s="105"/>
      <c r="I93" s="695"/>
      <c r="J93" s="94"/>
      <c r="K93" s="158">
        <f t="shared" si="5"/>
        <v>0</v>
      </c>
      <c r="L93" s="142">
        <f t="shared" ref="L93:L105" si="7">IFERROR($K93/(COUNTIF($B93:$F93,"Yes")),0)</f>
        <v>0</v>
      </c>
      <c r="O93" s="162">
        <f t="shared" si="6"/>
        <v>0</v>
      </c>
    </row>
    <row r="94" spans="2:15">
      <c r="B94" s="601"/>
      <c r="C94" s="601"/>
      <c r="D94" s="601"/>
      <c r="E94" s="601"/>
      <c r="F94" s="601"/>
      <c r="G94" s="696"/>
      <c r="H94" s="105"/>
      <c r="I94" s="695"/>
      <c r="J94" s="94"/>
      <c r="K94" s="158">
        <f t="shared" ref="K94:K105" si="8">IFERROR(I94*J94,0)</f>
        <v>0</v>
      </c>
      <c r="L94" s="142">
        <f t="shared" si="7"/>
        <v>0</v>
      </c>
      <c r="O94" s="162">
        <f t="shared" ref="O94:O105" si="9">IFERROR($O$2*K94,"")</f>
        <v>0</v>
      </c>
    </row>
    <row r="95" spans="2:15">
      <c r="B95" s="601"/>
      <c r="C95" s="601"/>
      <c r="D95" s="601"/>
      <c r="E95" s="601"/>
      <c r="F95" s="601"/>
      <c r="G95" s="696"/>
      <c r="H95" s="105"/>
      <c r="I95" s="695"/>
      <c r="J95" s="94"/>
      <c r="K95" s="158">
        <f t="shared" si="8"/>
        <v>0</v>
      </c>
      <c r="L95" s="142">
        <f t="shared" si="7"/>
        <v>0</v>
      </c>
      <c r="O95" s="162">
        <f t="shared" si="9"/>
        <v>0</v>
      </c>
    </row>
    <row r="96" spans="2:15">
      <c r="B96" s="601"/>
      <c r="C96" s="601"/>
      <c r="D96" s="601"/>
      <c r="E96" s="601"/>
      <c r="F96" s="601"/>
      <c r="G96" s="696"/>
      <c r="H96" s="105"/>
      <c r="I96" s="695"/>
      <c r="J96" s="94"/>
      <c r="K96" s="158">
        <f t="shared" si="8"/>
        <v>0</v>
      </c>
      <c r="L96" s="142">
        <f t="shared" si="7"/>
        <v>0</v>
      </c>
      <c r="O96" s="162">
        <f t="shared" si="9"/>
        <v>0</v>
      </c>
    </row>
    <row r="97" spans="2:15">
      <c r="B97" s="601"/>
      <c r="C97" s="601"/>
      <c r="D97" s="601"/>
      <c r="E97" s="601"/>
      <c r="F97" s="601"/>
      <c r="G97" s="696"/>
      <c r="H97" s="105"/>
      <c r="I97" s="695"/>
      <c r="J97" s="94"/>
      <c r="K97" s="158">
        <f t="shared" si="8"/>
        <v>0</v>
      </c>
      <c r="L97" s="142">
        <f t="shared" si="7"/>
        <v>0</v>
      </c>
      <c r="O97" s="162">
        <f t="shared" si="9"/>
        <v>0</v>
      </c>
    </row>
    <row r="98" spans="2:15">
      <c r="B98" s="601"/>
      <c r="C98" s="601"/>
      <c r="D98" s="601"/>
      <c r="E98" s="601"/>
      <c r="F98" s="601"/>
      <c r="G98" s="696"/>
      <c r="H98" s="105"/>
      <c r="I98" s="695"/>
      <c r="J98" s="94"/>
      <c r="K98" s="158">
        <f t="shared" si="8"/>
        <v>0</v>
      </c>
      <c r="L98" s="142">
        <f t="shared" si="7"/>
        <v>0</v>
      </c>
      <c r="O98" s="162">
        <f t="shared" si="9"/>
        <v>0</v>
      </c>
    </row>
    <row r="99" spans="2:15">
      <c r="B99" s="601"/>
      <c r="C99" s="601"/>
      <c r="D99" s="601"/>
      <c r="E99" s="601"/>
      <c r="F99" s="601"/>
      <c r="G99" s="696"/>
      <c r="H99" s="105"/>
      <c r="I99" s="695"/>
      <c r="J99" s="94"/>
      <c r="K99" s="158">
        <f t="shared" si="8"/>
        <v>0</v>
      </c>
      <c r="L99" s="142">
        <f t="shared" si="7"/>
        <v>0</v>
      </c>
      <c r="O99" s="162">
        <f t="shared" si="9"/>
        <v>0</v>
      </c>
    </row>
    <row r="100" spans="2:15">
      <c r="B100" s="601"/>
      <c r="C100" s="601"/>
      <c r="D100" s="601"/>
      <c r="E100" s="601"/>
      <c r="F100" s="601"/>
      <c r="G100" s="696"/>
      <c r="H100" s="105"/>
      <c r="I100" s="695"/>
      <c r="J100" s="94"/>
      <c r="K100" s="158">
        <f t="shared" si="8"/>
        <v>0</v>
      </c>
      <c r="L100" s="142">
        <f t="shared" si="7"/>
        <v>0</v>
      </c>
      <c r="O100" s="162">
        <f t="shared" si="9"/>
        <v>0</v>
      </c>
    </row>
    <row r="101" spans="2:15">
      <c r="B101" s="601"/>
      <c r="C101" s="601"/>
      <c r="D101" s="601"/>
      <c r="E101" s="601"/>
      <c r="F101" s="601"/>
      <c r="G101" s="696"/>
      <c r="H101" s="105"/>
      <c r="I101" s="695"/>
      <c r="J101" s="94"/>
      <c r="K101" s="158">
        <f t="shared" si="8"/>
        <v>0</v>
      </c>
      <c r="L101" s="142">
        <f t="shared" si="7"/>
        <v>0</v>
      </c>
      <c r="O101" s="162">
        <f t="shared" si="9"/>
        <v>0</v>
      </c>
    </row>
    <row r="102" spans="2:15">
      <c r="B102" s="601"/>
      <c r="C102" s="601"/>
      <c r="D102" s="601"/>
      <c r="E102" s="601"/>
      <c r="F102" s="601"/>
      <c r="G102" s="696"/>
      <c r="H102" s="105"/>
      <c r="I102" s="695"/>
      <c r="J102" s="94"/>
      <c r="K102" s="158">
        <f t="shared" si="8"/>
        <v>0</v>
      </c>
      <c r="L102" s="142">
        <f t="shared" si="7"/>
        <v>0</v>
      </c>
      <c r="O102" s="162">
        <f t="shared" si="9"/>
        <v>0</v>
      </c>
    </row>
    <row r="103" spans="2:15">
      <c r="B103" s="601"/>
      <c r="C103" s="601"/>
      <c r="D103" s="601"/>
      <c r="E103" s="601"/>
      <c r="F103" s="601"/>
      <c r="G103" s="696"/>
      <c r="H103" s="105"/>
      <c r="I103" s="695"/>
      <c r="J103" s="94"/>
      <c r="K103" s="158">
        <f t="shared" si="8"/>
        <v>0</v>
      </c>
      <c r="L103" s="142">
        <f t="shared" si="7"/>
        <v>0</v>
      </c>
      <c r="O103" s="162">
        <f t="shared" si="9"/>
        <v>0</v>
      </c>
    </row>
    <row r="104" spans="2:15">
      <c r="B104" s="601"/>
      <c r="C104" s="601"/>
      <c r="D104" s="601"/>
      <c r="E104" s="601"/>
      <c r="F104" s="601"/>
      <c r="G104" s="696"/>
      <c r="H104" s="105"/>
      <c r="I104" s="695"/>
      <c r="J104" s="94"/>
      <c r="K104" s="158">
        <f t="shared" si="8"/>
        <v>0</v>
      </c>
      <c r="L104" s="142">
        <f t="shared" si="7"/>
        <v>0</v>
      </c>
      <c r="O104" s="162">
        <f t="shared" si="9"/>
        <v>0</v>
      </c>
    </row>
    <row r="105" spans="2:15">
      <c r="B105" s="601"/>
      <c r="C105" s="601"/>
      <c r="D105" s="601"/>
      <c r="E105" s="601"/>
      <c r="F105" s="601"/>
      <c r="G105" s="697"/>
      <c r="H105" s="165"/>
      <c r="I105" s="698"/>
      <c r="J105" s="152"/>
      <c r="K105" s="158">
        <f t="shared" si="8"/>
        <v>0</v>
      </c>
      <c r="L105" s="142">
        <f t="shared" si="7"/>
        <v>0</v>
      </c>
      <c r="O105" s="162">
        <f t="shared" si="9"/>
        <v>0</v>
      </c>
    </row>
    <row r="106" spans="2:15">
      <c r="B106" s="743"/>
      <c r="C106" s="743"/>
      <c r="D106" s="743"/>
      <c r="E106" s="743"/>
      <c r="F106" s="743"/>
      <c r="G106" s="743"/>
      <c r="H106" s="743"/>
      <c r="I106" s="743"/>
      <c r="J106" s="743"/>
      <c r="K106" s="743"/>
      <c r="L106" s="118"/>
      <c r="O106" s="110"/>
    </row>
    <row r="107" spans="2:15" ht="14.7" thickBot="1">
      <c r="F107" s="49"/>
      <c r="G107" s="49"/>
      <c r="L107" s="49"/>
    </row>
    <row r="108" spans="2:15">
      <c r="G108" s="111"/>
      <c r="H108" s="750" t="str">
        <f>Language!B435</f>
        <v>Calculated costs – Reagents and consumables</v>
      </c>
      <c r="I108" s="751"/>
      <c r="J108" s="751"/>
      <c r="K108" s="751"/>
    </row>
    <row r="109" spans="2:15" ht="14.7" thickBot="1">
      <c r="G109" s="111"/>
      <c r="H109" s="680"/>
      <c r="I109" s="683" t="str">
        <f>Language!B368</f>
        <v>Both sequencers</v>
      </c>
      <c r="J109" s="684" t="str">
        <f>Language!B362</f>
        <v>Sequencer 1</v>
      </c>
      <c r="K109" s="685" t="str">
        <f>Language!B363</f>
        <v>Sequencer 2</v>
      </c>
    </row>
    <row r="110" spans="2:15">
      <c r="H110" s="119" t="str">
        <f>Language!B72</f>
        <v>Sequencing and library preparation reagent cost with sample retests:</v>
      </c>
      <c r="I110" s="548">
        <f t="shared" ref="I110:I115" si="10">SUM(J110:K110)</f>
        <v>98494</v>
      </c>
      <c r="J110" s="458">
        <f>SUM($K$5:$K$14,K25)</f>
        <v>98494</v>
      </c>
      <c r="K110" s="459">
        <f>SUM($K$15:$K$24,K26)</f>
        <v>0</v>
      </c>
    </row>
    <row r="111" spans="2:15">
      <c r="F111" s="8"/>
      <c r="H111" s="587" t="str">
        <f>Language!B399</f>
        <v>Other reagents cost with sample retests:</v>
      </c>
      <c r="I111" s="548">
        <f t="shared" si="10"/>
        <v>42425.015999999989</v>
      </c>
      <c r="J111" s="588">
        <f>SUM(K29:K105)/'Data entry'!F31*('Data entry'!$C$16+'Data entry'!$C$16*'Data entry'!$C$23)</f>
        <v>26802.807942238262</v>
      </c>
      <c r="K111" s="589">
        <f>SUM(K29:K105)/'Data entry'!F31*('Data entry'!$F$16+'Data entry'!$F$16*'Data entry'!$F$23)</f>
        <v>15622.208057761729</v>
      </c>
    </row>
    <row r="112" spans="2:15">
      <c r="F112" s="8"/>
      <c r="H112" s="120" t="str">
        <f>Language!B73</f>
        <v xml:space="preserve">Incidentals (waste bags, PPE, ethanol, etc.): </v>
      </c>
      <c r="I112" s="548">
        <f t="shared" si="10"/>
        <v>12134.880000000001</v>
      </c>
      <c r="J112" s="550">
        <f>'Annex3_Reagents and Consumables'!$K$146</f>
        <v>7182.29</v>
      </c>
      <c r="K112" s="551">
        <f>'Annex3_Reagents and Consumables'!$L$146</f>
        <v>4952.59</v>
      </c>
    </row>
    <row r="113" spans="6:11">
      <c r="F113" s="8"/>
      <c r="H113" s="120" t="str">
        <f>Language!B75</f>
        <v>Anticipated annual cost due to sample retests:</v>
      </c>
      <c r="I113" s="548">
        <f t="shared" si="10"/>
        <v>6711.9558863372058</v>
      </c>
      <c r="J113" s="552">
        <f>SUM(J110:J112)/(1+'Data entry'!C23)*'Data entry'!C23</f>
        <v>6308.5284734399174</v>
      </c>
      <c r="K113" s="553">
        <f>SUM(K110:K112)/(1+'Data entry'!F23)*'Data entry'!F23</f>
        <v>403.42741289728878</v>
      </c>
    </row>
    <row r="114" spans="6:11">
      <c r="H114" s="120" t="str">
        <f>Language!B74</f>
        <v>Annual reagent and consumable cost without sample retests:</v>
      </c>
      <c r="I114" s="548">
        <f t="shared" si="10"/>
        <v>146341.9401136628</v>
      </c>
      <c r="J114" s="552">
        <f>SUM(J110:J112)-J113</f>
        <v>126170.56946879835</v>
      </c>
      <c r="K114" s="552">
        <f>SUM(K110:K112)-K113</f>
        <v>20171.370644864437</v>
      </c>
    </row>
    <row r="115" spans="6:11">
      <c r="H115" s="120" t="str">
        <f>Language!B76</f>
        <v>Total annual reagent and consumable cost:</v>
      </c>
      <c r="I115" s="548">
        <f t="shared" si="10"/>
        <v>153053.89600000001</v>
      </c>
      <c r="J115" s="552">
        <f>SUM(J110:J112)</f>
        <v>132479.09794223827</v>
      </c>
      <c r="K115" s="552">
        <f>SUM(K110:K112)</f>
        <v>20574.798057761727</v>
      </c>
    </row>
    <row r="116" spans="6:11" ht="14.7" thickBot="1">
      <c r="H116" s="120" t="str">
        <f>Language!B77</f>
        <v>Total reagent and consumable cost per sample:</v>
      </c>
      <c r="I116" s="549">
        <f>$I$115/('Data entry'!$C$16+'Data entry'!$F$16)</f>
        <v>191.31737000000001</v>
      </c>
      <c r="J116" s="554">
        <f>IFERROR(J115/('Data entry'!$C$16),"")</f>
        <v>264.95819588447654</v>
      </c>
      <c r="K116" s="555">
        <f>IFERROR(K115/('Data entry'!$F$16),"")</f>
        <v>68.582660192539095</v>
      </c>
    </row>
    <row r="120" spans="6:11">
      <c r="H120" s="24"/>
    </row>
    <row r="121" spans="6:11">
      <c r="I121" s="112"/>
    </row>
  </sheetData>
  <sheetProtection algorithmName="SHA-512" hashValue="E82dtGX2eULqKkU4zt5X2I+0o922QJSYXD5FeCqFI+hXkdory1P1vAZyVRg/le5T/Lc0kcyeRTuIQCDugPtPmg==" saltValue="mns6+QXPROc7mlzqaRMt8w==" spinCount="100000" sheet="1" objects="1" scenarios="1" formatColumns="0" formatRows="0"/>
  <mergeCells count="3">
    <mergeCell ref="B106:K106"/>
    <mergeCell ref="B2:L2"/>
    <mergeCell ref="H108:K108"/>
  </mergeCells>
  <conditionalFormatting sqref="G5:H6 I5:J24 G15:H16 G25:H26 G29:J56 G57:H57 J57">
    <cfRule type="expression" dxfId="2" priority="1">
      <formula>NOT(_xlfn.ISFORMULA(G5))</formula>
    </cfRule>
  </conditionalFormatting>
  <conditionalFormatting sqref="J15:J24">
    <cfRule type="cellIs" dxfId="1" priority="6" operator="equal">
      <formula>0</formula>
    </cfRule>
  </conditionalFormatting>
  <dataValidations disablePrompts="1" count="1">
    <dataValidation type="list" allowBlank="1" showInputMessage="1" showErrorMessage="1" sqref="B29:F105 B5:F26" xr:uid="{E0504CE9-0155-4E2C-A134-A5C2C1FA81CD}">
      <formula1>"Yes,No"</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230B-9AA6-4AEC-978A-EFAD1A960558}">
  <dimension ref="A2:AC108"/>
  <sheetViews>
    <sheetView topLeftCell="A34" zoomScale="120" zoomScaleNormal="120" workbookViewId="0">
      <selection activeCell="S12" sqref="S12"/>
    </sheetView>
  </sheetViews>
  <sheetFormatPr defaultColWidth="8.41796875" defaultRowHeight="14.4"/>
  <cols>
    <col min="1" max="1" width="7.68359375" style="6" bestFit="1" customWidth="1"/>
    <col min="2" max="3" width="3.83984375" style="6" customWidth="1"/>
    <col min="4" max="5" width="4.15625" style="6" customWidth="1"/>
    <col min="6" max="6" width="4.83984375" customWidth="1"/>
    <col min="7" max="7" width="48.83984375" customWidth="1"/>
    <col min="8" max="8" width="15.68359375" customWidth="1"/>
    <col min="9" max="9" width="15.83984375" customWidth="1"/>
    <col min="10" max="10" width="14.68359375" bestFit="1" customWidth="1"/>
    <col min="11" max="11" width="13.41796875" bestFit="1" customWidth="1"/>
    <col min="12" max="12" width="15.41796875" customWidth="1"/>
    <col min="13" max="13" width="12.26171875" customWidth="1"/>
    <col min="14" max="14" width="13.41796875" customWidth="1"/>
    <col min="15" max="15" width="20.83984375" customWidth="1"/>
    <col min="16" max="16" width="26.41796875" style="6" customWidth="1"/>
    <col min="17" max="17" width="28.41796875" customWidth="1"/>
    <col min="18" max="20" width="18.41796875" customWidth="1"/>
    <col min="21" max="21" width="8.41796875" customWidth="1"/>
    <col min="22" max="22" width="33.83984375" style="75" customWidth="1"/>
    <col min="23" max="23" width="7.15625" customWidth="1"/>
    <col min="27" max="27" width="20.41796875" customWidth="1"/>
    <col min="28" max="28" width="18.26171875" customWidth="1"/>
    <col min="29" max="29" width="47.83984375" bestFit="1" customWidth="1"/>
    <col min="16374" max="16384" width="8.41796875" bestFit="1" customWidth="1"/>
  </cols>
  <sheetData>
    <row r="2" spans="1:29" s="50" customFormat="1" ht="20.25" customHeight="1">
      <c r="A2" s="756" t="str">
        <f>Language!B78</f>
        <v>Equipment</v>
      </c>
      <c r="B2" s="757"/>
      <c r="C2" s="757"/>
      <c r="D2" s="757"/>
      <c r="E2" s="757"/>
      <c r="F2" s="757"/>
      <c r="G2" s="757"/>
      <c r="H2" s="757"/>
      <c r="I2" s="757"/>
      <c r="J2" s="757"/>
      <c r="K2" s="757"/>
      <c r="L2" s="757"/>
      <c r="M2" s="757"/>
      <c r="N2" s="757"/>
      <c r="O2" s="757"/>
      <c r="P2" s="757"/>
      <c r="Q2" s="757"/>
      <c r="R2" s="757"/>
      <c r="S2" s="757"/>
      <c r="T2" s="757"/>
      <c r="V2" s="102"/>
      <c r="AA2" s="752" t="str">
        <f>Language!B92</f>
        <v>Potential items for purchase to reach recommended equipment quantities</v>
      </c>
      <c r="AB2" s="752"/>
      <c r="AC2" s="752"/>
    </row>
    <row r="3" spans="1:29" s="29" customFormat="1" ht="115.8" thickBot="1">
      <c r="A3" s="329" t="str">
        <f>Language!B79</f>
        <v>Flag for equipment</v>
      </c>
      <c r="B3" s="329" t="str">
        <f>Language!B31</f>
        <v>Sample receipt</v>
      </c>
      <c r="C3" s="329" t="str">
        <f>Language!B32</f>
        <v>Nucleic acid extraction</v>
      </c>
      <c r="D3" s="329" t="str">
        <f>Language!B33</f>
        <v>PCR testing</v>
      </c>
      <c r="E3" s="329" t="str">
        <f>Language!B34</f>
        <v>NGS library preparation</v>
      </c>
      <c r="F3" s="329" t="str">
        <f>Language!B35</f>
        <v>Sequencing</v>
      </c>
      <c r="G3" s="103" t="str">
        <f>Language!B81</f>
        <v>Item</v>
      </c>
      <c r="H3" s="103" t="str">
        <f>Language!B82</f>
        <v>Recommended quantity</v>
      </c>
      <c r="I3" s="103" t="str">
        <f>Language!B83</f>
        <v>Actual quantity (enter 0 if none)</v>
      </c>
      <c r="J3" s="103" t="str">
        <f>Language!B84</f>
        <v>Unit cost</v>
      </c>
      <c r="K3" s="103" t="str">
        <f>Language!B85</f>
        <v>Total cost</v>
      </c>
      <c r="L3" s="103" t="str">
        <f>Language!B86</f>
        <v>Recommended lifetime (years)</v>
      </c>
      <c r="M3" s="103" t="str">
        <f>Language!B87</f>
        <v>Age of equipment (new=0)</v>
      </c>
      <c r="N3" s="103" t="str">
        <f>Language!B88</f>
        <v>Depreciation value</v>
      </c>
      <c r="O3" s="103" t="str">
        <f>Language!B89</f>
        <v>Maintenance and calibration contract cost per year (default = 15%)</v>
      </c>
      <c r="P3" s="103" t="str">
        <f>Language!B90</f>
        <v>Percentage of use for sequencing of selected pathogens</v>
      </c>
      <c r="Q3" s="103" t="str">
        <f>Language!B91</f>
        <v>Annual equipment depreciation cost</v>
      </c>
      <c r="R3" s="103" t="str">
        <f>Language!B344</f>
        <v>Total annual equipment maintenance and calibration cost</v>
      </c>
      <c r="S3" s="101" t="str">
        <f>Language!B345</f>
        <v>Annual equipment operational cost</v>
      </c>
      <c r="T3" s="101" t="str">
        <f>Language!B367</f>
        <v>Distributed cost – per workflow</v>
      </c>
      <c r="V3" s="104" t="str">
        <f>Language!B69</f>
        <v>Local currency (reference only)</v>
      </c>
      <c r="AA3" s="101" t="str">
        <f>Language!B93</f>
        <v>Total cost</v>
      </c>
      <c r="AB3" s="101" t="str">
        <f>Language!B94</f>
        <v>Quantity</v>
      </c>
      <c r="AC3" s="101" t="str">
        <f>Language!B95</f>
        <v>Item</v>
      </c>
    </row>
    <row r="4" spans="1:29" ht="14.25" hidden="1" customHeight="1" thickBot="1">
      <c r="A4" s="223" t="s">
        <v>11</v>
      </c>
      <c r="B4" s="223"/>
      <c r="C4" s="223" t="s">
        <v>12</v>
      </c>
      <c r="D4" s="223" t="s">
        <v>13</v>
      </c>
      <c r="E4" s="223" t="s">
        <v>14</v>
      </c>
      <c r="F4" s="224" t="s">
        <v>5</v>
      </c>
      <c r="G4" s="224" t="s">
        <v>7</v>
      </c>
      <c r="H4" s="223" t="s">
        <v>15</v>
      </c>
      <c r="I4" s="223" t="s">
        <v>16</v>
      </c>
      <c r="J4" s="224" t="s">
        <v>17</v>
      </c>
      <c r="K4" s="224" t="s">
        <v>10</v>
      </c>
      <c r="L4" s="223" t="s">
        <v>18</v>
      </c>
      <c r="M4" s="223" t="s">
        <v>19</v>
      </c>
      <c r="N4" s="224" t="s">
        <v>20</v>
      </c>
      <c r="O4" s="224" t="s">
        <v>21</v>
      </c>
      <c r="P4" s="223" t="s">
        <v>22</v>
      </c>
      <c r="Q4" s="225" t="s">
        <v>23</v>
      </c>
      <c r="V4" s="226" t="s">
        <v>2</v>
      </c>
      <c r="AA4" s="231" t="s">
        <v>24</v>
      </c>
      <c r="AB4" s="231" t="s">
        <v>8</v>
      </c>
      <c r="AC4" s="232" t="s">
        <v>7</v>
      </c>
    </row>
    <row r="5" spans="1:29" ht="20.25" customHeight="1">
      <c r="A5" s="383" t="str">
        <f>IF(AB5&lt;&gt;"","Buy", "")</f>
        <v/>
      </c>
      <c r="B5" s="384" t="s">
        <v>3</v>
      </c>
      <c r="C5" s="384" t="s">
        <v>3</v>
      </c>
      <c r="D5" s="384" t="s">
        <v>3</v>
      </c>
      <c r="E5" s="384" t="s">
        <v>3</v>
      </c>
      <c r="F5" s="385" t="s">
        <v>4</v>
      </c>
      <c r="G5" s="619" t="str">
        <f>IF('Data entry'!$C$17=Annex2_Equipment!C4,Language!B391,'Data entry'!$C$17)</f>
        <v>Illumina MiSeq</v>
      </c>
      <c r="H5" s="385">
        <f>IF($G5="Select Item",0,1)</f>
        <v>1</v>
      </c>
      <c r="I5" s="534">
        <v>1</v>
      </c>
      <c r="J5" s="622">
        <f>IFERROR(VLOOKUP(G5,Annex2_Equipment!$C$5:$D$23,2,FALSE),0)</f>
        <v>99000</v>
      </c>
      <c r="K5" s="220">
        <f>I5*J5</f>
        <v>99000</v>
      </c>
      <c r="L5" s="647">
        <v>8</v>
      </c>
      <c r="M5" s="534">
        <v>5</v>
      </c>
      <c r="N5" s="220">
        <f>IFERROR(K5/L5,0)</f>
        <v>12375</v>
      </c>
      <c r="O5" s="622">
        <f>(I5*J5)*0.15</f>
        <v>14850</v>
      </c>
      <c r="P5" s="701">
        <v>1</v>
      </c>
      <c r="Q5" s="386">
        <f>N5*P5</f>
        <v>12375</v>
      </c>
      <c r="R5" s="386">
        <f>O5*P5</f>
        <v>14850</v>
      </c>
      <c r="S5" s="386">
        <f>Q5+R5</f>
        <v>27225</v>
      </c>
      <c r="T5" s="387">
        <f>IFERROR($S5/COUNTIF($B5:$F5,"Yes"),0)</f>
        <v>27225</v>
      </c>
      <c r="V5" s="227">
        <f>IFERROR('Reagents and consumables'!$O$2*S5,"")</f>
        <v>0</v>
      </c>
      <c r="AA5" s="228" t="str">
        <f>IF($M5&lt;$L5,IF($I5&lt;$H5,($H5-$I5)*$J5,""),$H5*$J5)</f>
        <v/>
      </c>
      <c r="AB5" s="229" t="str">
        <f>IF($AA5&lt;&gt;"",$AA5/$J5,"")</f>
        <v/>
      </c>
      <c r="AC5" s="230" t="str">
        <f>IF($AA5&lt;&gt;"",$G5,"")</f>
        <v/>
      </c>
    </row>
    <row r="6" spans="1:29" ht="20.25" customHeight="1" thickBot="1">
      <c r="A6" s="388" t="str">
        <f>IF(AB6&lt;&gt;"","Buy", "")</f>
        <v/>
      </c>
      <c r="B6" s="389" t="s">
        <v>3</v>
      </c>
      <c r="C6" s="389" t="s">
        <v>3</v>
      </c>
      <c r="D6" s="389" t="s">
        <v>3</v>
      </c>
      <c r="E6" s="389" t="s">
        <v>3</v>
      </c>
      <c r="F6" s="390" t="s">
        <v>4</v>
      </c>
      <c r="G6" s="620" t="str">
        <f>IF('Data entry'!$F$17=Annex2_Equipment!C4,Language!B392,'Data entry'!$F$17)</f>
        <v>ONT GridION (Project Pack)</v>
      </c>
      <c r="H6" s="412">
        <f>IF($G6="Select Item",0,1)</f>
        <v>1</v>
      </c>
      <c r="I6" s="535">
        <v>1</v>
      </c>
      <c r="J6" s="623">
        <f>IFERROR(VLOOKUP(G6,Annex2_Equipment!$C$5:$D$23,2,FALSE),0)</f>
        <v>67000</v>
      </c>
      <c r="K6" s="391">
        <f>I6*J6</f>
        <v>67000</v>
      </c>
      <c r="L6" s="648">
        <v>8</v>
      </c>
      <c r="M6" s="535">
        <v>5</v>
      </c>
      <c r="N6" s="391">
        <f>IFERROR(K6/L6,0)</f>
        <v>8375</v>
      </c>
      <c r="O6" s="623">
        <f>(I6*J6)*0.15</f>
        <v>10050</v>
      </c>
      <c r="P6" s="702">
        <v>1</v>
      </c>
      <c r="Q6" s="392">
        <f>N6*P6</f>
        <v>8375</v>
      </c>
      <c r="R6" s="392">
        <f>O6*P6</f>
        <v>10050</v>
      </c>
      <c r="S6" s="392">
        <f>Q6+R6</f>
        <v>18425</v>
      </c>
      <c r="T6" s="393">
        <f>IFERROR($S6/COUNTIF($B6:$F6,"Yes"),0)</f>
        <v>18425</v>
      </c>
      <c r="V6" s="227">
        <f>IFERROR('Reagents and consumables'!$O$2*S6,"")</f>
        <v>0</v>
      </c>
      <c r="AA6" s="228" t="str">
        <f>IF($M6&lt;$L6,IF($I6&lt;$H6,($H6-$I6)*$J6,""),$H6*$J6)</f>
        <v/>
      </c>
      <c r="AB6" s="229" t="str">
        <f>IF($AA6&lt;&gt;"",$AA6/$J6,"")</f>
        <v/>
      </c>
      <c r="AC6" s="230" t="str">
        <f>IF($AA6&lt;&gt;"",$G6,"")</f>
        <v/>
      </c>
    </row>
    <row r="7" spans="1:29" ht="20.25" customHeight="1">
      <c r="A7" s="380" t="str">
        <f>IF(AB7&lt;&gt;"","Buy", "")</f>
        <v>Buy</v>
      </c>
      <c r="B7" s="602" t="s">
        <v>3</v>
      </c>
      <c r="C7" s="602" t="s">
        <v>3</v>
      </c>
      <c r="D7" s="602" t="s">
        <v>4</v>
      </c>
      <c r="E7" s="602" t="s">
        <v>4</v>
      </c>
      <c r="F7" s="602" t="s">
        <v>3</v>
      </c>
      <c r="G7" s="621" t="str">
        <f>Annex2_Equipment!C26</f>
        <v>PCR workstation</v>
      </c>
      <c r="H7" s="234">
        <f>VLOOKUP($G7,Annex2_Equipment!$C$26:$E$66,3,FALSE)</f>
        <v>2</v>
      </c>
      <c r="I7" s="536">
        <v>1</v>
      </c>
      <c r="J7" s="624">
        <f>VLOOKUP($G7,Annex2_Equipment!$C$26:$E$66,2,FALSE)</f>
        <v>3837.57</v>
      </c>
      <c r="K7" s="381">
        <f>I7*J7</f>
        <v>3837.57</v>
      </c>
      <c r="L7" s="649">
        <v>10</v>
      </c>
      <c r="M7" s="536">
        <v>2</v>
      </c>
      <c r="N7" s="381">
        <f>IFERROR(K7/L7,0)</f>
        <v>383.75700000000001</v>
      </c>
      <c r="O7" s="624">
        <f>(I7*J7)*0.15</f>
        <v>575.63549999999998</v>
      </c>
      <c r="P7" s="703">
        <v>0.5</v>
      </c>
      <c r="Q7" s="382">
        <f>N7*P7</f>
        <v>191.8785</v>
      </c>
      <c r="R7" s="382">
        <f>O7*P7</f>
        <v>287.81774999999999</v>
      </c>
      <c r="S7" s="382">
        <f>Q7+R7</f>
        <v>479.69624999999996</v>
      </c>
      <c r="T7" s="382">
        <f>IFERROR($S7/COUNTIF($B7:$F7,"Yes"),0)</f>
        <v>239.84812499999998</v>
      </c>
      <c r="V7" s="227">
        <f>IFERROR('Reagents and consumables'!$O$2*S7,"")</f>
        <v>0</v>
      </c>
      <c r="AA7" s="228">
        <f>IF($M7&lt;$L7,IF($I7&lt;$H7,($H7-$I7)*$J7,""),$H7*$J7)</f>
        <v>3837.57</v>
      </c>
      <c r="AB7" s="229">
        <f>IF($AA7&lt;&gt;"",$AA7/$J7,"")</f>
        <v>1</v>
      </c>
      <c r="AC7" s="230" t="str">
        <f>IF($AA7&lt;&gt;"",$G7,"")</f>
        <v>PCR workstation</v>
      </c>
    </row>
    <row r="8" spans="1:29" ht="20.25" customHeight="1">
      <c r="A8" s="218" t="str">
        <f t="shared" ref="A8:A34" si="0">IF(AB8&lt;&gt;"","Buy", "")</f>
        <v/>
      </c>
      <c r="B8" s="603" t="s">
        <v>3</v>
      </c>
      <c r="C8" s="603" t="s">
        <v>3</v>
      </c>
      <c r="D8" s="603" t="s">
        <v>3</v>
      </c>
      <c r="E8" s="603" t="s">
        <v>4</v>
      </c>
      <c r="F8" s="603" t="s">
        <v>3</v>
      </c>
      <c r="G8" s="612" t="str">
        <f>Annex2_Equipment!C27</f>
        <v>Plate magnet (for 96 well plate)</v>
      </c>
      <c r="H8" s="143">
        <f>VLOOKUP($G8,Annex2_Equipment!$C$26:$E$66,3,FALSE)</f>
        <v>2</v>
      </c>
      <c r="I8" s="95">
        <v>2</v>
      </c>
      <c r="J8" s="625">
        <f>VLOOKUP($G8,Annex2_Equipment!$C$26:$E$66,2,FALSE)</f>
        <v>1323.3</v>
      </c>
      <c r="K8" s="142">
        <f t="shared" ref="K8:K40" si="1">I8*J8</f>
        <v>2646.6</v>
      </c>
      <c r="L8" s="650">
        <v>10</v>
      </c>
      <c r="M8" s="95"/>
      <c r="N8" s="142">
        <f>IFERROR(K8/L8,0)</f>
        <v>264.65999999999997</v>
      </c>
      <c r="O8" s="614">
        <f t="shared" ref="O8:O40" si="2">(I8*J8)*0.15</f>
        <v>396.98999999999995</v>
      </c>
      <c r="P8" s="704">
        <v>1</v>
      </c>
      <c r="Q8" s="76">
        <f t="shared" ref="Q8:Q69" si="3">N8*P8</f>
        <v>264.65999999999997</v>
      </c>
      <c r="R8" s="76">
        <f t="shared" ref="R8:R69" si="4">O8*P8</f>
        <v>396.98999999999995</v>
      </c>
      <c r="S8" s="76">
        <f t="shared" ref="S8:S69" si="5">Q8+R8</f>
        <v>661.64999999999986</v>
      </c>
      <c r="T8" s="76">
        <f t="shared" ref="T8:T69" si="6">IFERROR($S8/COUNTIF($B8:$F8,"Yes"),0)</f>
        <v>661.64999999999986</v>
      </c>
      <c r="V8" s="227">
        <f>IFERROR('Reagents and consumables'!$O$2*S8,"")</f>
        <v>0</v>
      </c>
      <c r="AA8" s="228" t="str">
        <f t="shared" ref="AA8:AA43" si="7">IF($M8&lt;$L8,IF($I8&lt;$H8,($H8-$I8)*$J8,""),$H8*$J8)</f>
        <v/>
      </c>
      <c r="AB8" s="229" t="str">
        <f t="shared" ref="AB8:AB43" si="8">IF($AA8&lt;&gt;"",$AA8/$J8,"")</f>
        <v/>
      </c>
      <c r="AC8" s="230" t="str">
        <f t="shared" ref="AC8:AC43" si="9">IF($AA8&lt;&gt;"",$G8,"")</f>
        <v/>
      </c>
    </row>
    <row r="9" spans="1:29" ht="20.25" customHeight="1">
      <c r="A9" s="218" t="str">
        <f t="shared" si="0"/>
        <v/>
      </c>
      <c r="B9" s="603" t="s">
        <v>3</v>
      </c>
      <c r="C9" s="603" t="s">
        <v>3</v>
      </c>
      <c r="D9" s="603" t="s">
        <v>3</v>
      </c>
      <c r="E9" s="603" t="s">
        <v>4</v>
      </c>
      <c r="F9" s="603" t="s">
        <v>3</v>
      </c>
      <c r="G9" s="612" t="str">
        <f>Annex2_Equipment!C28</f>
        <v>Magnetic rack (for 12 1.5–2.0 mL tubes)</v>
      </c>
      <c r="H9" s="143">
        <f>VLOOKUP($G9,Annex2_Equipment!$C$26:$E$66,3,FALSE)</f>
        <v>4</v>
      </c>
      <c r="I9" s="95">
        <v>4</v>
      </c>
      <c r="J9" s="625">
        <f>VLOOKUP($G9,Annex2_Equipment!$C$26:$E$66,2,FALSE)</f>
        <v>374.13299999999998</v>
      </c>
      <c r="K9" s="142">
        <f t="shared" si="1"/>
        <v>1496.5319999999999</v>
      </c>
      <c r="L9" s="650">
        <v>10</v>
      </c>
      <c r="M9" s="95"/>
      <c r="N9" s="142">
        <f t="shared" ref="N9:N72" si="10">IFERROR(K9/L9,0)</f>
        <v>149.6532</v>
      </c>
      <c r="O9" s="614">
        <f t="shared" si="2"/>
        <v>224.47979999999998</v>
      </c>
      <c r="P9" s="704">
        <v>1</v>
      </c>
      <c r="Q9" s="76">
        <f t="shared" si="3"/>
        <v>149.6532</v>
      </c>
      <c r="R9" s="76">
        <f t="shared" si="4"/>
        <v>224.47979999999998</v>
      </c>
      <c r="S9" s="76">
        <f t="shared" si="5"/>
        <v>374.13299999999998</v>
      </c>
      <c r="T9" s="76">
        <f t="shared" si="6"/>
        <v>374.13299999999998</v>
      </c>
      <c r="V9" s="227">
        <f>IFERROR('Reagents and consumables'!$O$2*S9,"")</f>
        <v>0</v>
      </c>
      <c r="AA9" s="228" t="str">
        <f t="shared" si="7"/>
        <v/>
      </c>
      <c r="AB9" s="229" t="str">
        <f t="shared" si="8"/>
        <v/>
      </c>
      <c r="AC9" s="230" t="str">
        <f t="shared" si="9"/>
        <v/>
      </c>
    </row>
    <row r="10" spans="1:29" ht="20.25" customHeight="1">
      <c r="A10" s="218" t="str">
        <f t="shared" si="0"/>
        <v>Buy</v>
      </c>
      <c r="B10" s="603" t="s">
        <v>3</v>
      </c>
      <c r="C10" s="603" t="s">
        <v>3</v>
      </c>
      <c r="D10" s="603" t="s">
        <v>4</v>
      </c>
      <c r="E10" s="603" t="s">
        <v>4</v>
      </c>
      <c r="F10" s="603" t="s">
        <v>3</v>
      </c>
      <c r="G10" s="612" t="str">
        <f>Annex2_Equipment!C29</f>
        <v>PCR cooling plates/strip holders</v>
      </c>
      <c r="H10" s="143">
        <f>VLOOKUP($G10,Annex2_Equipment!$C$26:$E$66,3,FALSE)</f>
        <v>4</v>
      </c>
      <c r="I10" s="95">
        <v>1</v>
      </c>
      <c r="J10" s="625">
        <f>VLOOKUP($G10,Annex2_Equipment!$C$26:$E$66,2,FALSE)</f>
        <v>84.21</v>
      </c>
      <c r="K10" s="142">
        <f t="shared" si="1"/>
        <v>84.21</v>
      </c>
      <c r="L10" s="650">
        <v>10</v>
      </c>
      <c r="M10" s="95"/>
      <c r="N10" s="142">
        <f t="shared" si="10"/>
        <v>8.4209999999999994</v>
      </c>
      <c r="O10" s="614">
        <f t="shared" si="2"/>
        <v>12.631499999999999</v>
      </c>
      <c r="P10" s="704">
        <v>1</v>
      </c>
      <c r="Q10" s="76">
        <f t="shared" si="3"/>
        <v>8.4209999999999994</v>
      </c>
      <c r="R10" s="76">
        <f t="shared" si="4"/>
        <v>12.631499999999999</v>
      </c>
      <c r="S10" s="76">
        <f t="shared" si="5"/>
        <v>21.052499999999998</v>
      </c>
      <c r="T10" s="76">
        <f t="shared" si="6"/>
        <v>10.526249999999999</v>
      </c>
      <c r="V10" s="227">
        <f>IFERROR('Reagents and consumables'!$O$2*S10,"")</f>
        <v>0</v>
      </c>
      <c r="AA10" s="228">
        <f t="shared" si="7"/>
        <v>252.63</v>
      </c>
      <c r="AB10" s="229">
        <f t="shared" si="8"/>
        <v>3</v>
      </c>
      <c r="AC10" s="230" t="str">
        <f t="shared" si="9"/>
        <v>PCR cooling plates/strip holders</v>
      </c>
    </row>
    <row r="11" spans="1:29" ht="20.25" customHeight="1">
      <c r="A11" s="218" t="str">
        <f t="shared" si="0"/>
        <v/>
      </c>
      <c r="B11" s="603" t="s">
        <v>3</v>
      </c>
      <c r="C11" s="603" t="s">
        <v>3</v>
      </c>
      <c r="D11" s="603" t="s">
        <v>3</v>
      </c>
      <c r="E11" s="603" t="s">
        <v>3</v>
      </c>
      <c r="F11" s="603" t="s">
        <v>4</v>
      </c>
      <c r="G11" s="612" t="str">
        <f>Annex2_Equipment!C30</f>
        <v>Dry bath (heat block)</v>
      </c>
      <c r="H11" s="143">
        <f>VLOOKUP($G11,Annex2_Equipment!$C$26:$E$66,3,FALSE)</f>
        <v>1</v>
      </c>
      <c r="I11" s="95">
        <v>1</v>
      </c>
      <c r="J11" s="625">
        <f>VLOOKUP($G11,Annex2_Equipment!$C$26:$E$66,2,FALSE)</f>
        <v>324.81</v>
      </c>
      <c r="K11" s="142">
        <f t="shared" si="1"/>
        <v>324.81</v>
      </c>
      <c r="L11" s="650">
        <v>10</v>
      </c>
      <c r="M11" s="95"/>
      <c r="N11" s="142">
        <f t="shared" si="10"/>
        <v>32.481000000000002</v>
      </c>
      <c r="O11" s="614">
        <f t="shared" si="2"/>
        <v>48.721499999999999</v>
      </c>
      <c r="P11" s="704">
        <v>1</v>
      </c>
      <c r="Q11" s="76">
        <f t="shared" si="3"/>
        <v>32.481000000000002</v>
      </c>
      <c r="R11" s="76">
        <f t="shared" si="4"/>
        <v>48.721499999999999</v>
      </c>
      <c r="S11" s="76">
        <f t="shared" si="5"/>
        <v>81.202500000000001</v>
      </c>
      <c r="T11" s="76">
        <f t="shared" si="6"/>
        <v>81.202500000000001</v>
      </c>
      <c r="V11" s="227">
        <f>IFERROR('Reagents and consumables'!$O$2*S11,"")</f>
        <v>0</v>
      </c>
      <c r="AA11" s="228" t="str">
        <f t="shared" si="7"/>
        <v/>
      </c>
      <c r="AB11" s="229" t="str">
        <f t="shared" si="8"/>
        <v/>
      </c>
      <c r="AC11" s="230" t="str">
        <f t="shared" si="9"/>
        <v/>
      </c>
    </row>
    <row r="12" spans="1:29" ht="20.25" customHeight="1">
      <c r="A12" s="218" t="str">
        <f t="shared" si="0"/>
        <v/>
      </c>
      <c r="B12" s="603" t="s">
        <v>3</v>
      </c>
      <c r="C12" s="603" t="s">
        <v>4</v>
      </c>
      <c r="D12" s="603" t="s">
        <v>3</v>
      </c>
      <c r="E12" s="603" t="s">
        <v>3</v>
      </c>
      <c r="F12" s="603" t="s">
        <v>3</v>
      </c>
      <c r="G12" s="612" t="str">
        <f>Annex2_Equipment!C31</f>
        <v>Biosafety cabinet, class II, type A2</v>
      </c>
      <c r="H12" s="143">
        <f>VLOOKUP($G12,Annex2_Equipment!$C$26:$E$66,3,FALSE)</f>
        <v>1</v>
      </c>
      <c r="I12" s="95">
        <v>1</v>
      </c>
      <c r="J12" s="625">
        <f>VLOOKUP($G12,Annex2_Equipment!$C$26:$E$66,2,FALSE)</f>
        <v>12030</v>
      </c>
      <c r="K12" s="142">
        <f t="shared" si="1"/>
        <v>12030</v>
      </c>
      <c r="L12" s="650">
        <v>10</v>
      </c>
      <c r="M12" s="95"/>
      <c r="N12" s="142">
        <f t="shared" si="10"/>
        <v>1203</v>
      </c>
      <c r="O12" s="614">
        <f t="shared" si="2"/>
        <v>1804.5</v>
      </c>
      <c r="P12" s="704">
        <v>1</v>
      </c>
      <c r="Q12" s="76">
        <f t="shared" si="3"/>
        <v>1203</v>
      </c>
      <c r="R12" s="76">
        <f t="shared" si="4"/>
        <v>1804.5</v>
      </c>
      <c r="S12" s="76">
        <f t="shared" si="5"/>
        <v>3007.5</v>
      </c>
      <c r="T12" s="76">
        <f t="shared" si="6"/>
        <v>3007.5</v>
      </c>
      <c r="V12" s="227">
        <f>IFERROR('Reagents and consumables'!$O$2*S12,"")</f>
        <v>0</v>
      </c>
      <c r="AA12" s="228" t="str">
        <f t="shared" si="7"/>
        <v/>
      </c>
      <c r="AB12" s="229" t="str">
        <f t="shared" si="8"/>
        <v/>
      </c>
      <c r="AC12" s="230" t="str">
        <f t="shared" si="9"/>
        <v/>
      </c>
    </row>
    <row r="13" spans="1:29" ht="20.25" customHeight="1">
      <c r="A13" s="218" t="str">
        <f t="shared" si="0"/>
        <v/>
      </c>
      <c r="B13" s="603" t="s">
        <v>3</v>
      </c>
      <c r="C13" s="603" t="s">
        <v>4</v>
      </c>
      <c r="D13" s="603" t="s">
        <v>3</v>
      </c>
      <c r="E13" s="603" t="s">
        <v>3</v>
      </c>
      <c r="F13" s="603" t="s">
        <v>3</v>
      </c>
      <c r="G13" s="612" t="str">
        <f>Annex2_Equipment!C32</f>
        <v>Water bath 5L</v>
      </c>
      <c r="H13" s="143">
        <f>VLOOKUP($G13,Annex2_Equipment!$C$26:$E$66,3,FALSE)</f>
        <v>1</v>
      </c>
      <c r="I13" s="95">
        <v>1</v>
      </c>
      <c r="J13" s="625">
        <f>VLOOKUP($G13,Annex2_Equipment!$C$26:$E$66,2,FALSE)</f>
        <v>668.86800000000005</v>
      </c>
      <c r="K13" s="142">
        <f t="shared" si="1"/>
        <v>668.86800000000005</v>
      </c>
      <c r="L13" s="650">
        <v>10</v>
      </c>
      <c r="M13" s="95"/>
      <c r="N13" s="142">
        <f t="shared" si="10"/>
        <v>66.886800000000008</v>
      </c>
      <c r="O13" s="614">
        <f t="shared" si="2"/>
        <v>100.3302</v>
      </c>
      <c r="P13" s="704">
        <v>1</v>
      </c>
      <c r="Q13" s="76">
        <f t="shared" si="3"/>
        <v>66.886800000000008</v>
      </c>
      <c r="R13" s="76">
        <f t="shared" si="4"/>
        <v>100.3302</v>
      </c>
      <c r="S13" s="76">
        <f t="shared" si="5"/>
        <v>167.21700000000001</v>
      </c>
      <c r="T13" s="76">
        <f t="shared" si="6"/>
        <v>167.21700000000001</v>
      </c>
      <c r="V13" s="227">
        <f>IFERROR('Reagents and consumables'!$O$2*S13,"")</f>
        <v>0</v>
      </c>
      <c r="AA13" s="228" t="str">
        <f t="shared" si="7"/>
        <v/>
      </c>
      <c r="AB13" s="229" t="str">
        <f t="shared" si="8"/>
        <v/>
      </c>
      <c r="AC13" s="230" t="str">
        <f t="shared" si="9"/>
        <v/>
      </c>
    </row>
    <row r="14" spans="1:29" ht="20.25" customHeight="1">
      <c r="A14" s="218" t="str">
        <f t="shared" si="0"/>
        <v/>
      </c>
      <c r="B14" s="603" t="s">
        <v>3</v>
      </c>
      <c r="C14" s="603" t="s">
        <v>4</v>
      </c>
      <c r="D14" s="603" t="s">
        <v>3</v>
      </c>
      <c r="E14" s="603" t="s">
        <v>3</v>
      </c>
      <c r="F14" s="603" t="s">
        <v>3</v>
      </c>
      <c r="G14" s="612" t="str">
        <f>Annex2_Equipment!C33</f>
        <v>Autoclave benchtop</v>
      </c>
      <c r="H14" s="143">
        <f>VLOOKUP($G14,Annex2_Equipment!$C$26:$E$66,3,FALSE)</f>
        <v>1</v>
      </c>
      <c r="I14" s="95">
        <v>1</v>
      </c>
      <c r="J14" s="625">
        <f>VLOOKUP($G14,Annex2_Equipment!$C$26:$E$66,2,FALSE)</f>
        <v>4210.5</v>
      </c>
      <c r="K14" s="142">
        <f t="shared" si="1"/>
        <v>4210.5</v>
      </c>
      <c r="L14" s="650">
        <v>10</v>
      </c>
      <c r="M14" s="95"/>
      <c r="N14" s="142">
        <f t="shared" si="10"/>
        <v>421.05</v>
      </c>
      <c r="O14" s="614">
        <f t="shared" si="2"/>
        <v>631.57499999999993</v>
      </c>
      <c r="P14" s="704">
        <v>1</v>
      </c>
      <c r="Q14" s="76">
        <f t="shared" si="3"/>
        <v>421.05</v>
      </c>
      <c r="R14" s="76">
        <f t="shared" si="4"/>
        <v>631.57499999999993</v>
      </c>
      <c r="S14" s="76">
        <f t="shared" si="5"/>
        <v>1052.625</v>
      </c>
      <c r="T14" s="76">
        <f t="shared" si="6"/>
        <v>1052.625</v>
      </c>
      <c r="V14" s="227">
        <f>IFERROR('Reagents and consumables'!$O$2*S14,"")</f>
        <v>0</v>
      </c>
      <c r="AA14" s="228" t="str">
        <f t="shared" si="7"/>
        <v/>
      </c>
      <c r="AB14" s="229" t="str">
        <f t="shared" si="8"/>
        <v/>
      </c>
      <c r="AC14" s="230" t="str">
        <f t="shared" si="9"/>
        <v/>
      </c>
    </row>
    <row r="15" spans="1:29" ht="20.25" customHeight="1">
      <c r="A15" s="218" t="str">
        <f t="shared" si="0"/>
        <v/>
      </c>
      <c r="B15" s="603" t="s">
        <v>3</v>
      </c>
      <c r="C15" s="603" t="s">
        <v>4</v>
      </c>
      <c r="D15" s="603" t="s">
        <v>4</v>
      </c>
      <c r="E15" s="603" t="s">
        <v>4</v>
      </c>
      <c r="F15" s="603" t="s">
        <v>3</v>
      </c>
      <c r="G15" s="612" t="str">
        <f>Annex2_Equipment!C34</f>
        <v>Vortex</v>
      </c>
      <c r="H15" s="143">
        <f>VLOOKUP($G15,Annex2_Equipment!$C$26:$E$66,3,FALSE)</f>
        <v>2</v>
      </c>
      <c r="I15" s="95">
        <v>2</v>
      </c>
      <c r="J15" s="625">
        <f>VLOOKUP($G15,Annex2_Equipment!$C$26:$E$66,2,FALSE)</f>
        <v>351.27600000000001</v>
      </c>
      <c r="K15" s="142">
        <f t="shared" si="1"/>
        <v>702.55200000000002</v>
      </c>
      <c r="L15" s="650">
        <v>10</v>
      </c>
      <c r="M15" s="95"/>
      <c r="N15" s="142">
        <f t="shared" si="10"/>
        <v>70.255200000000002</v>
      </c>
      <c r="O15" s="614">
        <f t="shared" si="2"/>
        <v>105.3828</v>
      </c>
      <c r="P15" s="704">
        <v>1</v>
      </c>
      <c r="Q15" s="76">
        <f t="shared" si="3"/>
        <v>70.255200000000002</v>
      </c>
      <c r="R15" s="76">
        <f t="shared" si="4"/>
        <v>105.3828</v>
      </c>
      <c r="S15" s="76">
        <f t="shared" si="5"/>
        <v>175.63800000000001</v>
      </c>
      <c r="T15" s="76">
        <f t="shared" si="6"/>
        <v>58.545999999999999</v>
      </c>
      <c r="V15" s="227">
        <f>IFERROR('Reagents and consumables'!$O$2*S15,"")</f>
        <v>0</v>
      </c>
      <c r="AA15" s="228" t="str">
        <f t="shared" si="7"/>
        <v/>
      </c>
      <c r="AB15" s="229" t="str">
        <f t="shared" si="8"/>
        <v/>
      </c>
      <c r="AC15" s="230" t="str">
        <f t="shared" si="9"/>
        <v/>
      </c>
    </row>
    <row r="16" spans="1:29" ht="20.25" customHeight="1">
      <c r="A16" s="218" t="str">
        <f t="shared" si="0"/>
        <v/>
      </c>
      <c r="B16" s="603" t="s">
        <v>3</v>
      </c>
      <c r="C16" s="603" t="s">
        <v>4</v>
      </c>
      <c r="D16" s="603" t="s">
        <v>3</v>
      </c>
      <c r="E16" s="603" t="s">
        <v>3</v>
      </c>
      <c r="F16" s="603" t="s">
        <v>3</v>
      </c>
      <c r="G16" s="612" t="str">
        <f>Annex2_Equipment!C35</f>
        <v>Analytical balance</v>
      </c>
      <c r="H16" s="143">
        <f>VLOOKUP($G16,Annex2_Equipment!$C$26:$E$66,3,FALSE)</f>
        <v>1</v>
      </c>
      <c r="I16" s="95">
        <v>1</v>
      </c>
      <c r="J16" s="625">
        <f>VLOOKUP($G16,Annex2_Equipment!$C$26:$E$66,2,FALSE)</f>
        <v>994.88099999999997</v>
      </c>
      <c r="K16" s="142">
        <f t="shared" si="1"/>
        <v>994.88099999999997</v>
      </c>
      <c r="L16" s="650">
        <v>10</v>
      </c>
      <c r="M16" s="95"/>
      <c r="N16" s="142">
        <f t="shared" si="10"/>
        <v>99.488100000000003</v>
      </c>
      <c r="O16" s="614">
        <f t="shared" si="2"/>
        <v>149.23214999999999</v>
      </c>
      <c r="P16" s="704">
        <v>1</v>
      </c>
      <c r="Q16" s="76">
        <f t="shared" si="3"/>
        <v>99.488100000000003</v>
      </c>
      <c r="R16" s="76">
        <f t="shared" si="4"/>
        <v>149.23214999999999</v>
      </c>
      <c r="S16" s="76">
        <f t="shared" si="5"/>
        <v>248.72024999999999</v>
      </c>
      <c r="T16" s="76">
        <f t="shared" si="6"/>
        <v>248.72024999999999</v>
      </c>
      <c r="V16" s="227">
        <f>IFERROR('Reagents and consumables'!$O$2*S16,"")</f>
        <v>0</v>
      </c>
      <c r="AA16" s="228" t="str">
        <f t="shared" si="7"/>
        <v/>
      </c>
      <c r="AB16" s="229" t="str">
        <f t="shared" si="8"/>
        <v/>
      </c>
      <c r="AC16" s="230" t="str">
        <f t="shared" si="9"/>
        <v/>
      </c>
    </row>
    <row r="17" spans="1:29" ht="20.25" customHeight="1">
      <c r="A17" s="218" t="str">
        <f t="shared" si="0"/>
        <v/>
      </c>
      <c r="B17" s="603" t="s">
        <v>4</v>
      </c>
      <c r="C17" s="603" t="s">
        <v>4</v>
      </c>
      <c r="D17" s="603" t="s">
        <v>4</v>
      </c>
      <c r="E17" s="603" t="s">
        <v>4</v>
      </c>
      <c r="F17" s="603" t="s">
        <v>4</v>
      </c>
      <c r="G17" s="612" t="str">
        <f>Annex2_Equipment!C36</f>
        <v>(-)20  freezer</v>
      </c>
      <c r="H17" s="143">
        <f>VLOOKUP($G17,Annex2_Equipment!$C$26:$E$66,3,FALSE)</f>
        <v>1</v>
      </c>
      <c r="I17" s="95">
        <v>1</v>
      </c>
      <c r="J17" s="625">
        <f>VLOOKUP($G17,Annex2_Equipment!$C$26:$E$66,2,FALSE)</f>
        <v>1039.3920000000001</v>
      </c>
      <c r="K17" s="142">
        <f t="shared" si="1"/>
        <v>1039.3920000000001</v>
      </c>
      <c r="L17" s="650">
        <v>10</v>
      </c>
      <c r="M17" s="95"/>
      <c r="N17" s="142">
        <f t="shared" si="10"/>
        <v>103.9392</v>
      </c>
      <c r="O17" s="614">
        <f t="shared" si="2"/>
        <v>155.90880000000001</v>
      </c>
      <c r="P17" s="704">
        <v>1</v>
      </c>
      <c r="Q17" s="76">
        <f t="shared" si="3"/>
        <v>103.9392</v>
      </c>
      <c r="R17" s="76">
        <f t="shared" si="4"/>
        <v>155.90880000000001</v>
      </c>
      <c r="S17" s="76">
        <f t="shared" si="5"/>
        <v>259.84800000000001</v>
      </c>
      <c r="T17" s="76">
        <f t="shared" si="6"/>
        <v>51.9696</v>
      </c>
      <c r="V17" s="227">
        <f>IFERROR('Reagents and consumables'!$O$2*S17,"")</f>
        <v>0</v>
      </c>
      <c r="AA17" s="228" t="str">
        <f t="shared" si="7"/>
        <v/>
      </c>
      <c r="AB17" s="229" t="str">
        <f t="shared" si="8"/>
        <v/>
      </c>
      <c r="AC17" s="230" t="str">
        <f t="shared" si="9"/>
        <v/>
      </c>
    </row>
    <row r="18" spans="1:29" ht="20.25" customHeight="1">
      <c r="A18" s="218" t="str">
        <f t="shared" si="0"/>
        <v/>
      </c>
      <c r="B18" s="603" t="s">
        <v>4</v>
      </c>
      <c r="C18" s="603" t="s">
        <v>4</v>
      </c>
      <c r="D18" s="603" t="s">
        <v>4</v>
      </c>
      <c r="E18" s="603" t="s">
        <v>4</v>
      </c>
      <c r="F18" s="603" t="s">
        <v>4</v>
      </c>
      <c r="G18" s="612" t="str">
        <f>Annex2_Equipment!C37</f>
        <v>(-)80  freezer</v>
      </c>
      <c r="H18" s="143">
        <f>VLOOKUP($G18,Annex2_Equipment!$C$26:$E$66,3,FALSE)</f>
        <v>1</v>
      </c>
      <c r="I18" s="95">
        <v>1</v>
      </c>
      <c r="J18" s="625">
        <f>VLOOKUP($G18,Annex2_Equipment!$C$26:$E$66,2,FALSE)</f>
        <v>13719.012000000001</v>
      </c>
      <c r="K18" s="142">
        <f t="shared" si="1"/>
        <v>13719.012000000001</v>
      </c>
      <c r="L18" s="650">
        <v>10</v>
      </c>
      <c r="M18" s="95"/>
      <c r="N18" s="142">
        <f t="shared" si="10"/>
        <v>1371.9012</v>
      </c>
      <c r="O18" s="614">
        <f t="shared" si="2"/>
        <v>2057.8517999999999</v>
      </c>
      <c r="P18" s="704">
        <v>1</v>
      </c>
      <c r="Q18" s="76">
        <f t="shared" si="3"/>
        <v>1371.9012</v>
      </c>
      <c r="R18" s="76">
        <f t="shared" si="4"/>
        <v>2057.8517999999999</v>
      </c>
      <c r="S18" s="76">
        <f t="shared" si="5"/>
        <v>3429.7529999999997</v>
      </c>
      <c r="T18" s="76">
        <f t="shared" si="6"/>
        <v>685.95059999999989</v>
      </c>
      <c r="V18" s="227">
        <f>IFERROR('Reagents and consumables'!$O$2*S18,"")</f>
        <v>0</v>
      </c>
      <c r="AA18" s="228" t="str">
        <f t="shared" si="7"/>
        <v/>
      </c>
      <c r="AB18" s="229" t="str">
        <f t="shared" si="8"/>
        <v/>
      </c>
      <c r="AC18" s="230" t="str">
        <f t="shared" si="9"/>
        <v/>
      </c>
    </row>
    <row r="19" spans="1:29" ht="20.25" customHeight="1">
      <c r="A19" s="218" t="str">
        <f t="shared" si="0"/>
        <v/>
      </c>
      <c r="B19" s="603" t="s">
        <v>4</v>
      </c>
      <c r="C19" s="603" t="s">
        <v>4</v>
      </c>
      <c r="D19" s="603" t="s">
        <v>4</v>
      </c>
      <c r="E19" s="603" t="s">
        <v>4</v>
      </c>
      <c r="F19" s="603" t="s">
        <v>4</v>
      </c>
      <c r="G19" s="612" t="str">
        <f>Annex2_Equipment!C38</f>
        <v>Refrigerator (4C)</v>
      </c>
      <c r="H19" s="143">
        <f>VLOOKUP($G19,Annex2_Equipment!$C$26:$E$66,3,FALSE)</f>
        <v>1</v>
      </c>
      <c r="I19" s="95">
        <v>1</v>
      </c>
      <c r="J19" s="625">
        <f>VLOOKUP($G19,Annex2_Equipment!$C$26:$E$66,2,FALSE)</f>
        <v>1200</v>
      </c>
      <c r="K19" s="142">
        <f t="shared" si="1"/>
        <v>1200</v>
      </c>
      <c r="L19" s="650">
        <v>10</v>
      </c>
      <c r="M19" s="95"/>
      <c r="N19" s="142">
        <f t="shared" si="10"/>
        <v>120</v>
      </c>
      <c r="O19" s="614">
        <f t="shared" si="2"/>
        <v>180</v>
      </c>
      <c r="P19" s="704">
        <v>1</v>
      </c>
      <c r="Q19" s="76">
        <f t="shared" si="3"/>
        <v>120</v>
      </c>
      <c r="R19" s="76">
        <f t="shared" si="4"/>
        <v>180</v>
      </c>
      <c r="S19" s="76">
        <f t="shared" si="5"/>
        <v>300</v>
      </c>
      <c r="T19" s="76">
        <f t="shared" si="6"/>
        <v>60</v>
      </c>
      <c r="V19" s="227">
        <f>IFERROR('Reagents and consumables'!$O$2*S19,"")</f>
        <v>0</v>
      </c>
      <c r="AA19" s="228" t="str">
        <f t="shared" si="7"/>
        <v/>
      </c>
      <c r="AB19" s="229" t="str">
        <f t="shared" si="8"/>
        <v/>
      </c>
      <c r="AC19" s="230" t="str">
        <f t="shared" si="9"/>
        <v/>
      </c>
    </row>
    <row r="20" spans="1:29" ht="20.25" customHeight="1">
      <c r="A20" s="218" t="str">
        <f t="shared" si="0"/>
        <v/>
      </c>
      <c r="B20" s="603" t="s">
        <v>3</v>
      </c>
      <c r="C20" s="603" t="s">
        <v>3</v>
      </c>
      <c r="D20" s="603" t="s">
        <v>3</v>
      </c>
      <c r="E20" s="603" t="s">
        <v>3</v>
      </c>
      <c r="F20" s="603" t="s">
        <v>4</v>
      </c>
      <c r="G20" s="612" t="str">
        <f>Annex2_Equipment!C40</f>
        <v>Uninterrupted power supply (1500V)</v>
      </c>
      <c r="H20" s="143">
        <f>VLOOKUP($G20,Annex2_Equipment!$C$26:$E$66,3,FALSE)</f>
        <v>1</v>
      </c>
      <c r="I20" s="95">
        <v>1</v>
      </c>
      <c r="J20" s="625">
        <f>VLOOKUP($G20,Annex2_Equipment!$C$26:$E$66,2,FALSE)</f>
        <v>1000</v>
      </c>
      <c r="K20" s="142">
        <f t="shared" si="1"/>
        <v>1000</v>
      </c>
      <c r="L20" s="650">
        <v>10</v>
      </c>
      <c r="M20" s="95"/>
      <c r="N20" s="142">
        <f t="shared" si="10"/>
        <v>100</v>
      </c>
      <c r="O20" s="614">
        <f t="shared" si="2"/>
        <v>150</v>
      </c>
      <c r="P20" s="704">
        <v>1</v>
      </c>
      <c r="Q20" s="76">
        <f t="shared" si="3"/>
        <v>100</v>
      </c>
      <c r="R20" s="76">
        <f t="shared" si="4"/>
        <v>150</v>
      </c>
      <c r="S20" s="76">
        <f t="shared" si="5"/>
        <v>250</v>
      </c>
      <c r="T20" s="76">
        <f t="shared" si="6"/>
        <v>250</v>
      </c>
      <c r="V20" s="227">
        <f>IFERROR('Reagents and consumables'!$O$2*S20,"")</f>
        <v>0</v>
      </c>
      <c r="AA20" s="228" t="str">
        <f t="shared" si="7"/>
        <v/>
      </c>
      <c r="AB20" s="229" t="str">
        <f t="shared" si="8"/>
        <v/>
      </c>
      <c r="AC20" s="230" t="str">
        <f t="shared" si="9"/>
        <v/>
      </c>
    </row>
    <row r="21" spans="1:29" ht="20.25" customHeight="1">
      <c r="A21" s="218" t="str">
        <f t="shared" si="0"/>
        <v/>
      </c>
      <c r="B21" s="603" t="s">
        <v>3</v>
      </c>
      <c r="C21" s="603" t="s">
        <v>3</v>
      </c>
      <c r="D21" s="603" t="s">
        <v>4</v>
      </c>
      <c r="E21" s="603" t="s">
        <v>3</v>
      </c>
      <c r="F21" s="603" t="s">
        <v>3</v>
      </c>
      <c r="G21" s="612" t="str">
        <f>Annex2_Equipment!C41</f>
        <v xml:space="preserve">Uninterrupted power supply (600V); </v>
      </c>
      <c r="H21" s="143">
        <f>VLOOKUP($G21,Annex2_Equipment!$C$26:$E$66,3,FALSE)</f>
        <v>1</v>
      </c>
      <c r="I21" s="95">
        <v>1</v>
      </c>
      <c r="J21" s="625">
        <f>VLOOKUP($G21,Annex2_Equipment!$C$26:$E$66,2,FALSE)</f>
        <v>600</v>
      </c>
      <c r="K21" s="142">
        <f t="shared" si="1"/>
        <v>600</v>
      </c>
      <c r="L21" s="650">
        <v>10</v>
      </c>
      <c r="M21" s="95"/>
      <c r="N21" s="142">
        <f t="shared" si="10"/>
        <v>60</v>
      </c>
      <c r="O21" s="614">
        <f t="shared" si="2"/>
        <v>90</v>
      </c>
      <c r="P21" s="704">
        <v>1</v>
      </c>
      <c r="Q21" s="76">
        <f t="shared" si="3"/>
        <v>60</v>
      </c>
      <c r="R21" s="76">
        <f t="shared" si="4"/>
        <v>90</v>
      </c>
      <c r="S21" s="76">
        <f t="shared" si="5"/>
        <v>150</v>
      </c>
      <c r="T21" s="76">
        <f t="shared" si="6"/>
        <v>150</v>
      </c>
      <c r="V21" s="227">
        <f>IFERROR('Reagents and consumables'!$O$2*S21,"")</f>
        <v>0</v>
      </c>
      <c r="AA21" s="228" t="str">
        <f t="shared" si="7"/>
        <v/>
      </c>
      <c r="AB21" s="229" t="str">
        <f t="shared" si="8"/>
        <v/>
      </c>
      <c r="AC21" s="230" t="str">
        <f t="shared" si="9"/>
        <v/>
      </c>
    </row>
    <row r="22" spans="1:29" ht="20.25" customHeight="1">
      <c r="A22" s="218" t="str">
        <f t="shared" si="0"/>
        <v/>
      </c>
      <c r="B22" s="603" t="s">
        <v>3</v>
      </c>
      <c r="C22" s="603" t="s">
        <v>3</v>
      </c>
      <c r="D22" s="603" t="s">
        <v>3</v>
      </c>
      <c r="E22" s="603" t="s">
        <v>4</v>
      </c>
      <c r="F22" s="603" t="s">
        <v>3</v>
      </c>
      <c r="G22" s="612" t="str">
        <f>Annex2_Equipment!C42</f>
        <v>Thermal cycler (conventional)</v>
      </c>
      <c r="H22" s="143">
        <f>VLOOKUP($G22,Annex2_Equipment!$C$26:$E$66,3,FALSE)</f>
        <v>1</v>
      </c>
      <c r="I22" s="95">
        <v>1</v>
      </c>
      <c r="J22" s="625">
        <f>VLOOKUP($G22,Annex2_Equipment!$C$26:$E$66,2,FALSE)</f>
        <v>9000</v>
      </c>
      <c r="K22" s="142">
        <f t="shared" si="1"/>
        <v>9000</v>
      </c>
      <c r="L22" s="650">
        <v>10</v>
      </c>
      <c r="M22" s="95"/>
      <c r="N22" s="142">
        <f t="shared" si="10"/>
        <v>900</v>
      </c>
      <c r="O22" s="614">
        <f t="shared" si="2"/>
        <v>1350</v>
      </c>
      <c r="P22" s="704">
        <v>1</v>
      </c>
      <c r="Q22" s="76">
        <f t="shared" si="3"/>
        <v>900</v>
      </c>
      <c r="R22" s="76">
        <f t="shared" si="4"/>
        <v>1350</v>
      </c>
      <c r="S22" s="76">
        <f t="shared" si="5"/>
        <v>2250</v>
      </c>
      <c r="T22" s="76">
        <f t="shared" si="6"/>
        <v>2250</v>
      </c>
      <c r="V22" s="227">
        <f>IFERROR('Reagents and consumables'!$O$2*S22,"")</f>
        <v>0</v>
      </c>
      <c r="AA22" s="228" t="str">
        <f t="shared" si="7"/>
        <v/>
      </c>
      <c r="AB22" s="229" t="str">
        <f t="shared" si="8"/>
        <v/>
      </c>
      <c r="AC22" s="230" t="str">
        <f t="shared" si="9"/>
        <v/>
      </c>
    </row>
    <row r="23" spans="1:29" ht="20.25" customHeight="1">
      <c r="A23" s="218" t="str">
        <f t="shared" si="0"/>
        <v/>
      </c>
      <c r="B23" s="603" t="s">
        <v>3</v>
      </c>
      <c r="C23" s="603" t="s">
        <v>3</v>
      </c>
      <c r="D23" s="603" t="s">
        <v>4</v>
      </c>
      <c r="E23" s="603" t="s">
        <v>3</v>
      </c>
      <c r="F23" s="603" t="s">
        <v>3</v>
      </c>
      <c r="G23" s="612" t="str">
        <f>Annex2_Equipment!C43</f>
        <v>Thermal cycler (realtime)</v>
      </c>
      <c r="H23" s="143">
        <f>VLOOKUP($G23,Annex2_Equipment!$C$26:$E$66,3,FALSE)</f>
        <v>1</v>
      </c>
      <c r="I23" s="95">
        <v>1</v>
      </c>
      <c r="J23" s="625">
        <f>VLOOKUP($G23,Annex2_Equipment!$C$26:$E$66,2,FALSE)</f>
        <v>18000</v>
      </c>
      <c r="K23" s="142">
        <f t="shared" si="1"/>
        <v>18000</v>
      </c>
      <c r="L23" s="650">
        <v>10</v>
      </c>
      <c r="M23" s="95"/>
      <c r="N23" s="142">
        <f t="shared" si="10"/>
        <v>1800</v>
      </c>
      <c r="O23" s="614">
        <f t="shared" si="2"/>
        <v>2700</v>
      </c>
      <c r="P23" s="704">
        <v>1</v>
      </c>
      <c r="Q23" s="76">
        <f t="shared" si="3"/>
        <v>1800</v>
      </c>
      <c r="R23" s="76">
        <f t="shared" si="4"/>
        <v>2700</v>
      </c>
      <c r="S23" s="76">
        <f t="shared" si="5"/>
        <v>4500</v>
      </c>
      <c r="T23" s="76">
        <f t="shared" si="6"/>
        <v>4500</v>
      </c>
      <c r="V23" s="227">
        <f>IFERROR('Reagents and consumables'!$O$2*S23,"")</f>
        <v>0</v>
      </c>
      <c r="AA23" s="228" t="str">
        <f t="shared" si="7"/>
        <v/>
      </c>
      <c r="AB23" s="229" t="str">
        <f t="shared" si="8"/>
        <v/>
      </c>
      <c r="AC23" s="230" t="str">
        <f t="shared" si="9"/>
        <v/>
      </c>
    </row>
    <row r="24" spans="1:29" ht="20.25" customHeight="1">
      <c r="A24" s="218" t="str">
        <f t="shared" si="0"/>
        <v/>
      </c>
      <c r="B24" s="603" t="s">
        <v>3</v>
      </c>
      <c r="C24" s="603" t="s">
        <v>4</v>
      </c>
      <c r="D24" s="603" t="s">
        <v>3</v>
      </c>
      <c r="E24" s="603" t="s">
        <v>3</v>
      </c>
      <c r="F24" s="603" t="s">
        <v>3</v>
      </c>
      <c r="G24" s="612" t="str">
        <f>Annex2_Equipment!C44</f>
        <v>Water purification system</v>
      </c>
      <c r="H24" s="143">
        <f>VLOOKUP($G24,Annex2_Equipment!$C$26:$E$66,3,FALSE)</f>
        <v>1</v>
      </c>
      <c r="I24" s="95">
        <v>1</v>
      </c>
      <c r="J24" s="625">
        <f>VLOOKUP($G24,Annex2_Equipment!$C$26:$E$66,2,FALSE)</f>
        <v>8408.9699999999993</v>
      </c>
      <c r="K24" s="142">
        <f t="shared" si="1"/>
        <v>8408.9699999999993</v>
      </c>
      <c r="L24" s="650">
        <v>10</v>
      </c>
      <c r="M24" s="95"/>
      <c r="N24" s="142">
        <f t="shared" si="10"/>
        <v>840.89699999999993</v>
      </c>
      <c r="O24" s="614">
        <f t="shared" si="2"/>
        <v>1261.3454999999999</v>
      </c>
      <c r="P24" s="704">
        <v>1</v>
      </c>
      <c r="Q24" s="76">
        <f t="shared" si="3"/>
        <v>840.89699999999993</v>
      </c>
      <c r="R24" s="76">
        <f t="shared" si="4"/>
        <v>1261.3454999999999</v>
      </c>
      <c r="S24" s="76">
        <f t="shared" si="5"/>
        <v>2102.2424999999998</v>
      </c>
      <c r="T24" s="76">
        <f t="shared" si="6"/>
        <v>2102.2424999999998</v>
      </c>
      <c r="V24" s="227">
        <f>IFERROR('Reagents and consumables'!$O$2*S24,"")</f>
        <v>0</v>
      </c>
      <c r="AA24" s="228" t="str">
        <f t="shared" si="7"/>
        <v/>
      </c>
      <c r="AB24" s="229" t="str">
        <f t="shared" si="8"/>
        <v/>
      </c>
      <c r="AC24" s="230" t="str">
        <f t="shared" si="9"/>
        <v/>
      </c>
    </row>
    <row r="25" spans="1:29" ht="20.25" customHeight="1">
      <c r="A25" s="218" t="str">
        <f t="shared" si="0"/>
        <v/>
      </c>
      <c r="B25" s="603" t="s">
        <v>3</v>
      </c>
      <c r="C25" s="603" t="s">
        <v>4</v>
      </c>
      <c r="D25" s="603" t="s">
        <v>4</v>
      </c>
      <c r="E25" s="603" t="s">
        <v>4</v>
      </c>
      <c r="F25" s="603" t="s">
        <v>3</v>
      </c>
      <c r="G25" s="612" t="str">
        <f>Annex2_Equipment!C45</f>
        <v>Single channel pipette 100–1000μL</v>
      </c>
      <c r="H25" s="143">
        <f>VLOOKUP($G25,Annex2_Equipment!$C$26:$E$66,3,FALSE)</f>
        <v>3</v>
      </c>
      <c r="I25" s="95">
        <v>3</v>
      </c>
      <c r="J25" s="625">
        <f>VLOOKUP($G25,Annex2_Equipment!$C$26:$E$66,2,FALSE)</f>
        <v>234.58500000000001</v>
      </c>
      <c r="K25" s="142">
        <f t="shared" si="1"/>
        <v>703.755</v>
      </c>
      <c r="L25" s="650">
        <v>10</v>
      </c>
      <c r="M25" s="95"/>
      <c r="N25" s="142">
        <f t="shared" si="10"/>
        <v>70.375500000000002</v>
      </c>
      <c r="O25" s="614">
        <f t="shared" si="2"/>
        <v>105.56325</v>
      </c>
      <c r="P25" s="704">
        <v>1</v>
      </c>
      <c r="Q25" s="76">
        <f t="shared" si="3"/>
        <v>70.375500000000002</v>
      </c>
      <c r="R25" s="76">
        <f t="shared" si="4"/>
        <v>105.56325</v>
      </c>
      <c r="S25" s="76">
        <f t="shared" si="5"/>
        <v>175.93875</v>
      </c>
      <c r="T25" s="76">
        <f t="shared" si="6"/>
        <v>58.646250000000002</v>
      </c>
      <c r="V25" s="227">
        <f>IFERROR('Reagents and consumables'!$O$2*S25,"")</f>
        <v>0</v>
      </c>
      <c r="AA25" s="228" t="str">
        <f t="shared" si="7"/>
        <v/>
      </c>
      <c r="AB25" s="229" t="str">
        <f t="shared" si="8"/>
        <v/>
      </c>
      <c r="AC25" s="230" t="str">
        <f t="shared" si="9"/>
        <v/>
      </c>
    </row>
    <row r="26" spans="1:29" ht="20.25" customHeight="1">
      <c r="A26" s="218" t="str">
        <f t="shared" si="0"/>
        <v>Buy</v>
      </c>
      <c r="B26" s="603" t="s">
        <v>3</v>
      </c>
      <c r="C26" s="603" t="s">
        <v>4</v>
      </c>
      <c r="D26" s="603" t="s">
        <v>4</v>
      </c>
      <c r="E26" s="603" t="s">
        <v>4</v>
      </c>
      <c r="F26" s="603" t="s">
        <v>3</v>
      </c>
      <c r="G26" s="612" t="str">
        <f>Annex2_Equipment!C46</f>
        <v>Single channel pipette 20–200μL</v>
      </c>
      <c r="H26" s="143">
        <f>VLOOKUP($G26,Annex2_Equipment!$C$26:$E$66,3,FALSE)</f>
        <v>3</v>
      </c>
      <c r="I26" s="95">
        <v>2</v>
      </c>
      <c r="J26" s="625">
        <f>VLOOKUP($G26,Annex2_Equipment!$C$26:$E$66,2,FALSE)</f>
        <v>269.47199999999998</v>
      </c>
      <c r="K26" s="142">
        <f t="shared" si="1"/>
        <v>538.94399999999996</v>
      </c>
      <c r="L26" s="650">
        <v>10</v>
      </c>
      <c r="M26" s="95"/>
      <c r="N26" s="142">
        <f t="shared" si="10"/>
        <v>53.894399999999997</v>
      </c>
      <c r="O26" s="614">
        <f t="shared" si="2"/>
        <v>80.841599999999985</v>
      </c>
      <c r="P26" s="704">
        <v>1</v>
      </c>
      <c r="Q26" s="76">
        <f t="shared" si="3"/>
        <v>53.894399999999997</v>
      </c>
      <c r="R26" s="76">
        <f t="shared" si="4"/>
        <v>80.841599999999985</v>
      </c>
      <c r="S26" s="76">
        <f t="shared" si="5"/>
        <v>134.73599999999999</v>
      </c>
      <c r="T26" s="76">
        <f t="shared" si="6"/>
        <v>44.911999999999999</v>
      </c>
      <c r="V26" s="227">
        <f>IFERROR('Reagents and consumables'!$O$2*S26,"")</f>
        <v>0</v>
      </c>
      <c r="AA26" s="228">
        <f t="shared" si="7"/>
        <v>269.47199999999998</v>
      </c>
      <c r="AB26" s="229">
        <f t="shared" si="8"/>
        <v>1</v>
      </c>
      <c r="AC26" s="230" t="str">
        <f t="shared" si="9"/>
        <v>Single channel pipette 20–200μL</v>
      </c>
    </row>
    <row r="27" spans="1:29" ht="20.25" customHeight="1">
      <c r="A27" s="218" t="str">
        <f t="shared" si="0"/>
        <v/>
      </c>
      <c r="B27" s="603" t="s">
        <v>3</v>
      </c>
      <c r="C27" s="603" t="s">
        <v>4</v>
      </c>
      <c r="D27" s="603" t="s">
        <v>4</v>
      </c>
      <c r="E27" s="603" t="s">
        <v>4</v>
      </c>
      <c r="F27" s="603" t="s">
        <v>3</v>
      </c>
      <c r="G27" s="612" t="str">
        <f>Annex2_Equipment!C47</f>
        <v>Single channel pipette 2–20μL</v>
      </c>
      <c r="H27" s="143">
        <f>VLOOKUP($G27,Annex2_Equipment!$C$26:$E$66,3,FALSE)</f>
        <v>3</v>
      </c>
      <c r="I27" s="95">
        <v>3</v>
      </c>
      <c r="J27" s="625">
        <f>VLOOKUP($G27,Annex2_Equipment!$C$26:$E$66,2,FALSE)</f>
        <v>257.44200000000001</v>
      </c>
      <c r="K27" s="142">
        <f t="shared" si="1"/>
        <v>772.32600000000002</v>
      </c>
      <c r="L27" s="650">
        <v>10</v>
      </c>
      <c r="M27" s="95"/>
      <c r="N27" s="142">
        <f t="shared" si="10"/>
        <v>77.232600000000005</v>
      </c>
      <c r="O27" s="614">
        <f t="shared" si="2"/>
        <v>115.8489</v>
      </c>
      <c r="P27" s="704">
        <v>1</v>
      </c>
      <c r="Q27" s="76">
        <f t="shared" si="3"/>
        <v>77.232600000000005</v>
      </c>
      <c r="R27" s="76">
        <f t="shared" si="4"/>
        <v>115.8489</v>
      </c>
      <c r="S27" s="76">
        <f t="shared" si="5"/>
        <v>193.08150000000001</v>
      </c>
      <c r="T27" s="76">
        <f t="shared" si="6"/>
        <v>64.360500000000002</v>
      </c>
      <c r="V27" s="227">
        <f>IFERROR('Reagents and consumables'!$O$2*S27,"")</f>
        <v>0</v>
      </c>
      <c r="AA27" s="228" t="str">
        <f t="shared" si="7"/>
        <v/>
      </c>
      <c r="AB27" s="229" t="str">
        <f t="shared" si="8"/>
        <v/>
      </c>
      <c r="AC27" s="230" t="str">
        <f t="shared" si="9"/>
        <v/>
      </c>
    </row>
    <row r="28" spans="1:29" ht="20.25" customHeight="1">
      <c r="A28" s="218" t="str">
        <f t="shared" si="0"/>
        <v/>
      </c>
      <c r="B28" s="603" t="s">
        <v>3</v>
      </c>
      <c r="C28" s="603" t="s">
        <v>3</v>
      </c>
      <c r="D28" s="603" t="s">
        <v>4</v>
      </c>
      <c r="E28" s="603" t="s">
        <v>3</v>
      </c>
      <c r="F28" s="603" t="s">
        <v>3</v>
      </c>
      <c r="G28" s="612" t="str">
        <f>Annex2_Equipment!C49</f>
        <v>Single channel pipette 0.2–2μL</v>
      </c>
      <c r="H28" s="143">
        <f>VLOOKUP($G28,Annex2_Equipment!$C$26:$E$66,3,FALSE)</f>
        <v>3</v>
      </c>
      <c r="I28" s="95">
        <v>3</v>
      </c>
      <c r="J28" s="625">
        <f>VLOOKUP($G28,Annex2_Equipment!$C$26:$E$66,2,FALSE)</f>
        <v>234.58500000000001</v>
      </c>
      <c r="K28" s="142">
        <f t="shared" si="1"/>
        <v>703.755</v>
      </c>
      <c r="L28" s="650">
        <v>10</v>
      </c>
      <c r="M28" s="95"/>
      <c r="N28" s="142">
        <f t="shared" si="10"/>
        <v>70.375500000000002</v>
      </c>
      <c r="O28" s="614">
        <f t="shared" si="2"/>
        <v>105.56325</v>
      </c>
      <c r="P28" s="704">
        <v>1</v>
      </c>
      <c r="Q28" s="76">
        <f t="shared" si="3"/>
        <v>70.375500000000002</v>
      </c>
      <c r="R28" s="76">
        <f t="shared" si="4"/>
        <v>105.56325</v>
      </c>
      <c r="S28" s="76">
        <f t="shared" si="5"/>
        <v>175.93875</v>
      </c>
      <c r="T28" s="76">
        <f t="shared" si="6"/>
        <v>175.93875</v>
      </c>
      <c r="V28" s="227">
        <f>IFERROR('Reagents and consumables'!$O$2*S28,"")</f>
        <v>0</v>
      </c>
      <c r="AA28" s="228" t="str">
        <f t="shared" si="7"/>
        <v/>
      </c>
      <c r="AB28" s="229" t="str">
        <f t="shared" si="8"/>
        <v/>
      </c>
      <c r="AC28" s="230" t="str">
        <f t="shared" si="9"/>
        <v/>
      </c>
    </row>
    <row r="29" spans="1:29" ht="20.25" customHeight="1">
      <c r="A29" s="218" t="str">
        <f t="shared" si="0"/>
        <v/>
      </c>
      <c r="B29" s="603" t="s">
        <v>3</v>
      </c>
      <c r="C29" s="603" t="s">
        <v>3</v>
      </c>
      <c r="D29" s="603" t="s">
        <v>3</v>
      </c>
      <c r="E29" s="603" t="s">
        <v>4</v>
      </c>
      <c r="F29" s="603" t="s">
        <v>3</v>
      </c>
      <c r="G29" s="612" t="str">
        <f>Annex2_Equipment!C50</f>
        <v>8-channel multichannel pipettes 10–100μL</v>
      </c>
      <c r="H29" s="143">
        <f>VLOOKUP($G29,Annex2_Equipment!$C$26:$E$66,3,FALSE)</f>
        <v>3</v>
      </c>
      <c r="I29" s="95">
        <v>3</v>
      </c>
      <c r="J29" s="625">
        <f>VLOOKUP($G29,Annex2_Equipment!$C$26:$E$66,2,FALSE)</f>
        <v>678.49199999999996</v>
      </c>
      <c r="K29" s="142">
        <f t="shared" si="1"/>
        <v>2035.4759999999999</v>
      </c>
      <c r="L29" s="650">
        <v>10</v>
      </c>
      <c r="M29" s="95"/>
      <c r="N29" s="142">
        <f t="shared" si="10"/>
        <v>203.54759999999999</v>
      </c>
      <c r="O29" s="614">
        <f t="shared" si="2"/>
        <v>305.32139999999998</v>
      </c>
      <c r="P29" s="704">
        <v>1</v>
      </c>
      <c r="Q29" s="76">
        <f t="shared" si="3"/>
        <v>203.54759999999999</v>
      </c>
      <c r="R29" s="76">
        <f t="shared" si="4"/>
        <v>305.32139999999998</v>
      </c>
      <c r="S29" s="76">
        <f t="shared" si="5"/>
        <v>508.86899999999997</v>
      </c>
      <c r="T29" s="76">
        <f t="shared" si="6"/>
        <v>508.86899999999997</v>
      </c>
      <c r="V29" s="227">
        <f>IFERROR('Reagents and consumables'!$O$2*S29,"")</f>
        <v>0</v>
      </c>
      <c r="AA29" s="228" t="str">
        <f t="shared" si="7"/>
        <v/>
      </c>
      <c r="AB29" s="229" t="str">
        <f t="shared" si="8"/>
        <v/>
      </c>
      <c r="AC29" s="230" t="str">
        <f t="shared" si="9"/>
        <v/>
      </c>
    </row>
    <row r="30" spans="1:29" ht="20.25" customHeight="1">
      <c r="A30" s="218" t="str">
        <f t="shared" si="0"/>
        <v/>
      </c>
      <c r="B30" s="603" t="s">
        <v>3</v>
      </c>
      <c r="C30" s="603" t="s">
        <v>4</v>
      </c>
      <c r="D30" s="603" t="s">
        <v>4</v>
      </c>
      <c r="E30" s="603" t="s">
        <v>4</v>
      </c>
      <c r="F30" s="603" t="s">
        <v>3</v>
      </c>
      <c r="G30" s="612" t="str">
        <f>Annex2_Equipment!C51</f>
        <v>Tube racks</v>
      </c>
      <c r="H30" s="143">
        <f>VLOOKUP($G30,Annex2_Equipment!$C$26:$E$66,3,FALSE)</f>
        <v>5</v>
      </c>
      <c r="I30" s="95">
        <v>5</v>
      </c>
      <c r="J30" s="625">
        <f>VLOOKUP($G30,Annex2_Equipment!$C$26:$E$66,2,FALSE)</f>
        <v>39.698999999999998</v>
      </c>
      <c r="K30" s="142">
        <f t="shared" si="1"/>
        <v>198.495</v>
      </c>
      <c r="L30" s="650">
        <v>10</v>
      </c>
      <c r="M30" s="95"/>
      <c r="N30" s="142">
        <f t="shared" si="10"/>
        <v>19.849499999999999</v>
      </c>
      <c r="O30" s="614">
        <f t="shared" si="2"/>
        <v>29.774249999999999</v>
      </c>
      <c r="P30" s="704">
        <v>1</v>
      </c>
      <c r="Q30" s="76">
        <f t="shared" si="3"/>
        <v>19.849499999999999</v>
      </c>
      <c r="R30" s="76">
        <f t="shared" si="4"/>
        <v>29.774249999999999</v>
      </c>
      <c r="S30" s="76">
        <f t="shared" si="5"/>
        <v>49.623750000000001</v>
      </c>
      <c r="T30" s="76">
        <f t="shared" si="6"/>
        <v>16.541250000000002</v>
      </c>
      <c r="V30" s="227">
        <f>IFERROR('Reagents and consumables'!$O$2*S30,"")</f>
        <v>0</v>
      </c>
      <c r="AA30" s="228" t="str">
        <f t="shared" si="7"/>
        <v/>
      </c>
      <c r="AB30" s="229" t="str">
        <f t="shared" si="8"/>
        <v/>
      </c>
      <c r="AC30" s="230" t="str">
        <f t="shared" si="9"/>
        <v/>
      </c>
    </row>
    <row r="31" spans="1:29" ht="20.25" customHeight="1">
      <c r="A31" s="218" t="str">
        <f t="shared" si="0"/>
        <v/>
      </c>
      <c r="B31" s="603" t="s">
        <v>3</v>
      </c>
      <c r="C31" s="603" t="s">
        <v>4</v>
      </c>
      <c r="D31" s="603" t="s">
        <v>4</v>
      </c>
      <c r="E31" s="603" t="s">
        <v>4</v>
      </c>
      <c r="F31" s="603" t="s">
        <v>3</v>
      </c>
      <c r="G31" s="612" t="str">
        <f>Annex2_Equipment!C52</f>
        <v>Cooling block (tube strips)</v>
      </c>
      <c r="H31" s="143">
        <f>VLOOKUP($G31,Annex2_Equipment!$C$26:$E$66,3,FALSE)</f>
        <v>2</v>
      </c>
      <c r="I31" s="95">
        <v>2</v>
      </c>
      <c r="J31" s="625">
        <f>VLOOKUP($G31,Annex2_Equipment!$C$26:$E$66,2,FALSE)</f>
        <v>291.12599999999998</v>
      </c>
      <c r="K31" s="142">
        <f t="shared" si="1"/>
        <v>582.25199999999995</v>
      </c>
      <c r="L31" s="650">
        <v>10</v>
      </c>
      <c r="M31" s="95"/>
      <c r="N31" s="142">
        <f t="shared" si="10"/>
        <v>58.225199999999994</v>
      </c>
      <c r="O31" s="614">
        <f t="shared" si="2"/>
        <v>87.337799999999987</v>
      </c>
      <c r="P31" s="704">
        <v>1</v>
      </c>
      <c r="Q31" s="76">
        <f t="shared" si="3"/>
        <v>58.225199999999994</v>
      </c>
      <c r="R31" s="76">
        <f t="shared" si="4"/>
        <v>87.337799999999987</v>
      </c>
      <c r="S31" s="76">
        <f t="shared" si="5"/>
        <v>145.56299999999999</v>
      </c>
      <c r="T31" s="76">
        <f t="shared" si="6"/>
        <v>48.520999999999994</v>
      </c>
      <c r="V31" s="227">
        <f>IFERROR('Reagents and consumables'!$O$2*S31,"")</f>
        <v>0</v>
      </c>
      <c r="AA31" s="228" t="str">
        <f t="shared" si="7"/>
        <v/>
      </c>
      <c r="AB31" s="229" t="str">
        <f t="shared" si="8"/>
        <v/>
      </c>
      <c r="AC31" s="230" t="str">
        <f t="shared" si="9"/>
        <v/>
      </c>
    </row>
    <row r="32" spans="1:29" ht="20.25" customHeight="1">
      <c r="A32" s="218" t="str">
        <f t="shared" si="0"/>
        <v/>
      </c>
      <c r="B32" s="603" t="s">
        <v>3</v>
      </c>
      <c r="C32" s="603" t="s">
        <v>3</v>
      </c>
      <c r="D32" s="603" t="s">
        <v>4</v>
      </c>
      <c r="E32" s="603" t="s">
        <v>3</v>
      </c>
      <c r="F32" s="603" t="s">
        <v>3</v>
      </c>
      <c r="G32" s="612" t="str">
        <f>Annex2_Equipment!C53</f>
        <v>Cooling block (96 well plate)</v>
      </c>
      <c r="H32" s="143">
        <f>VLOOKUP($G32,Annex2_Equipment!$C$26:$E$66,3,FALSE)</f>
        <v>1</v>
      </c>
      <c r="I32" s="95">
        <v>1</v>
      </c>
      <c r="J32" s="625">
        <f>VLOOKUP($G32,Annex2_Equipment!$C$26:$E$66,2,FALSE)</f>
        <v>175.74</v>
      </c>
      <c r="K32" s="142">
        <f t="shared" si="1"/>
        <v>175.74</v>
      </c>
      <c r="L32" s="650">
        <v>10</v>
      </c>
      <c r="M32" s="95"/>
      <c r="N32" s="142">
        <f t="shared" si="10"/>
        <v>17.574000000000002</v>
      </c>
      <c r="O32" s="614">
        <f t="shared" si="2"/>
        <v>26.361000000000001</v>
      </c>
      <c r="P32" s="704">
        <v>1</v>
      </c>
      <c r="Q32" s="76">
        <f t="shared" si="3"/>
        <v>17.574000000000002</v>
      </c>
      <c r="R32" s="76">
        <f t="shared" si="4"/>
        <v>26.361000000000001</v>
      </c>
      <c r="S32" s="76">
        <f t="shared" si="5"/>
        <v>43.935000000000002</v>
      </c>
      <c r="T32" s="76">
        <f t="shared" si="6"/>
        <v>43.935000000000002</v>
      </c>
      <c r="V32" s="227">
        <f>IFERROR('Reagents and consumables'!$O$2*S32,"")</f>
        <v>0</v>
      </c>
      <c r="AA32" s="228" t="str">
        <f t="shared" si="7"/>
        <v/>
      </c>
      <c r="AB32" s="229" t="str">
        <f t="shared" si="8"/>
        <v/>
      </c>
      <c r="AC32" s="230" t="str">
        <f t="shared" si="9"/>
        <v/>
      </c>
    </row>
    <row r="33" spans="1:29" ht="20.25" customHeight="1">
      <c r="A33" s="218" t="str">
        <f t="shared" si="0"/>
        <v/>
      </c>
      <c r="B33" s="603" t="s">
        <v>3</v>
      </c>
      <c r="C33" s="603" t="s">
        <v>3</v>
      </c>
      <c r="D33" s="603" t="s">
        <v>4</v>
      </c>
      <c r="E33" s="603" t="s">
        <v>4</v>
      </c>
      <c r="F33" s="603" t="s">
        <v>3</v>
      </c>
      <c r="G33" s="612" t="str">
        <f>Annex2_Equipment!C54</f>
        <v>Ice bucket</v>
      </c>
      <c r="H33" s="143">
        <f>VLOOKUP($G33,Annex2_Equipment!$C$26:$E$66,3,FALSE)</f>
        <v>1</v>
      </c>
      <c r="I33" s="95">
        <v>1</v>
      </c>
      <c r="J33" s="625">
        <f>VLOOKUP($G33,Annex2_Equipment!$C$26:$E$66,2,FALSE)</f>
        <v>173.9</v>
      </c>
      <c r="K33" s="142">
        <f t="shared" si="1"/>
        <v>173.9</v>
      </c>
      <c r="L33" s="650">
        <v>10</v>
      </c>
      <c r="M33" s="95"/>
      <c r="N33" s="142">
        <f t="shared" si="10"/>
        <v>17.39</v>
      </c>
      <c r="O33" s="614">
        <f t="shared" si="2"/>
        <v>26.085000000000001</v>
      </c>
      <c r="P33" s="704">
        <v>1</v>
      </c>
      <c r="Q33" s="76">
        <f t="shared" si="3"/>
        <v>17.39</v>
      </c>
      <c r="R33" s="76">
        <f t="shared" si="4"/>
        <v>26.085000000000001</v>
      </c>
      <c r="S33" s="76">
        <f t="shared" si="5"/>
        <v>43.475000000000001</v>
      </c>
      <c r="T33" s="76">
        <f t="shared" si="6"/>
        <v>21.737500000000001</v>
      </c>
      <c r="V33" s="227">
        <f>IFERROR('Reagents and consumables'!$O$2*S33,"")</f>
        <v>0</v>
      </c>
      <c r="AA33" s="228" t="str">
        <f t="shared" si="7"/>
        <v/>
      </c>
      <c r="AB33" s="229" t="str">
        <f t="shared" si="8"/>
        <v/>
      </c>
      <c r="AC33" s="230" t="str">
        <f t="shared" si="9"/>
        <v/>
      </c>
    </row>
    <row r="34" spans="1:29" ht="20.25" customHeight="1">
      <c r="A34" s="218" t="str">
        <f t="shared" si="0"/>
        <v/>
      </c>
      <c r="B34" s="603" t="s">
        <v>3</v>
      </c>
      <c r="C34" s="603" t="s">
        <v>3</v>
      </c>
      <c r="D34" s="603" t="s">
        <v>3</v>
      </c>
      <c r="E34" s="603" t="s">
        <v>4</v>
      </c>
      <c r="F34" s="603" t="s">
        <v>3</v>
      </c>
      <c r="G34" s="612" t="str">
        <f>Annex2_Equipment!C55</f>
        <v>Fluorometer, single assay</v>
      </c>
      <c r="H34" s="143">
        <f>VLOOKUP($G34,Annex2_Equipment!$C$26:$E$66,3,FALSE)</f>
        <v>1</v>
      </c>
      <c r="I34" s="95">
        <v>1</v>
      </c>
      <c r="J34" s="625">
        <f>VLOOKUP($G34,Annex2_Equipment!$C$26:$E$66,2,FALSE)</f>
        <v>3035</v>
      </c>
      <c r="K34" s="142">
        <f t="shared" si="1"/>
        <v>3035</v>
      </c>
      <c r="L34" s="650">
        <v>10</v>
      </c>
      <c r="M34" s="95"/>
      <c r="N34" s="142">
        <f t="shared" si="10"/>
        <v>303.5</v>
      </c>
      <c r="O34" s="614">
        <f t="shared" si="2"/>
        <v>455.25</v>
      </c>
      <c r="P34" s="704">
        <v>1</v>
      </c>
      <c r="Q34" s="76">
        <f t="shared" si="3"/>
        <v>303.5</v>
      </c>
      <c r="R34" s="76">
        <f t="shared" si="4"/>
        <v>455.25</v>
      </c>
      <c r="S34" s="76">
        <f t="shared" si="5"/>
        <v>758.75</v>
      </c>
      <c r="T34" s="76">
        <f t="shared" si="6"/>
        <v>758.75</v>
      </c>
      <c r="V34" s="227">
        <f>IFERROR('Reagents and consumables'!$O$2*S34,"")</f>
        <v>0</v>
      </c>
      <c r="AA34" s="228" t="str">
        <f t="shared" si="7"/>
        <v/>
      </c>
      <c r="AB34" s="229" t="str">
        <f t="shared" si="8"/>
        <v/>
      </c>
      <c r="AC34" s="230" t="str">
        <f t="shared" si="9"/>
        <v/>
      </c>
    </row>
    <row r="35" spans="1:29" ht="20.25" customHeight="1">
      <c r="A35" s="218" t="str">
        <f t="shared" ref="A35:A43" si="11">IF(AB35&lt;&gt;"","Buy", "")</f>
        <v/>
      </c>
      <c r="B35" s="603" t="s">
        <v>3</v>
      </c>
      <c r="C35" s="603" t="s">
        <v>3</v>
      </c>
      <c r="D35" s="603" t="s">
        <v>3</v>
      </c>
      <c r="E35" s="603" t="s">
        <v>4</v>
      </c>
      <c r="F35" s="603" t="s">
        <v>3</v>
      </c>
      <c r="G35" s="612" t="str">
        <f>Annex2_Equipment!C56</f>
        <v>Fluorometer, strip tube capable</v>
      </c>
      <c r="H35" s="143">
        <f>VLOOKUP($G35,Annex2_Equipment!$C$26:$E$66,3,FALSE)</f>
        <v>0</v>
      </c>
      <c r="I35" s="95"/>
      <c r="J35" s="625">
        <f>VLOOKUP($G35,Annex2_Equipment!$C$26:$E$66,2,FALSE)</f>
        <v>6600</v>
      </c>
      <c r="K35" s="142">
        <f>I35*J35</f>
        <v>0</v>
      </c>
      <c r="L35" s="650">
        <v>10</v>
      </c>
      <c r="M35" s="95"/>
      <c r="N35" s="142">
        <f t="shared" si="10"/>
        <v>0</v>
      </c>
      <c r="O35" s="614">
        <f>(I35*J35)*0.15</f>
        <v>0</v>
      </c>
      <c r="P35" s="704">
        <v>1</v>
      </c>
      <c r="Q35" s="76">
        <f t="shared" si="3"/>
        <v>0</v>
      </c>
      <c r="R35" s="76">
        <f t="shared" si="4"/>
        <v>0</v>
      </c>
      <c r="S35" s="76">
        <f t="shared" si="5"/>
        <v>0</v>
      </c>
      <c r="T35" s="76">
        <f t="shared" si="6"/>
        <v>0</v>
      </c>
      <c r="V35" s="227">
        <f>IFERROR('Reagents and consumables'!$O$2*S35,"")</f>
        <v>0</v>
      </c>
      <c r="AA35" s="228" t="str">
        <f t="shared" si="7"/>
        <v/>
      </c>
      <c r="AB35" s="229" t="str">
        <f t="shared" si="8"/>
        <v/>
      </c>
      <c r="AC35" s="230" t="str">
        <f t="shared" si="9"/>
        <v/>
      </c>
    </row>
    <row r="36" spans="1:29" ht="20.25" customHeight="1">
      <c r="A36" s="218" t="str">
        <f t="shared" si="11"/>
        <v/>
      </c>
      <c r="B36" s="603" t="s">
        <v>3</v>
      </c>
      <c r="C36" s="603" t="s">
        <v>3</v>
      </c>
      <c r="D36" s="603" t="s">
        <v>3</v>
      </c>
      <c r="E36" s="603" t="s">
        <v>3</v>
      </c>
      <c r="F36" s="603" t="s">
        <v>4</v>
      </c>
      <c r="G36" s="612" t="str">
        <f>Annex2_Equipment!C57</f>
        <v>Air conditioners</v>
      </c>
      <c r="H36" s="143">
        <f>VLOOKUP($G36,Annex2_Equipment!$C$26:$E$66,3,FALSE)</f>
        <v>3</v>
      </c>
      <c r="I36" s="95">
        <v>3</v>
      </c>
      <c r="J36" s="625">
        <f>VLOOKUP($G36,Annex2_Equipment!$C$26:$E$66,2,FALSE)</f>
        <v>500</v>
      </c>
      <c r="K36" s="142">
        <f t="shared" si="1"/>
        <v>1500</v>
      </c>
      <c r="L36" s="650">
        <v>10</v>
      </c>
      <c r="M36" s="95"/>
      <c r="N36" s="142">
        <f t="shared" si="10"/>
        <v>150</v>
      </c>
      <c r="O36" s="614">
        <f t="shared" si="2"/>
        <v>225</v>
      </c>
      <c r="P36" s="704">
        <v>1</v>
      </c>
      <c r="Q36" s="76">
        <f t="shared" si="3"/>
        <v>150</v>
      </c>
      <c r="R36" s="76">
        <f t="shared" si="4"/>
        <v>225</v>
      </c>
      <c r="S36" s="76">
        <f t="shared" si="5"/>
        <v>375</v>
      </c>
      <c r="T36" s="76">
        <f t="shared" si="6"/>
        <v>375</v>
      </c>
      <c r="V36" s="227">
        <f>IFERROR('Reagents and consumables'!$O$2*S36,"")</f>
        <v>0</v>
      </c>
      <c r="AA36" s="228" t="str">
        <f t="shared" si="7"/>
        <v/>
      </c>
      <c r="AB36" s="229" t="str">
        <f t="shared" si="8"/>
        <v/>
      </c>
      <c r="AC36" s="230" t="str">
        <f t="shared" si="9"/>
        <v/>
      </c>
    </row>
    <row r="37" spans="1:29" ht="20.25" customHeight="1">
      <c r="A37" s="218" t="str">
        <f t="shared" si="11"/>
        <v/>
      </c>
      <c r="B37" s="603" t="s">
        <v>3</v>
      </c>
      <c r="C37" s="603" t="s">
        <v>4</v>
      </c>
      <c r="D37" s="603" t="s">
        <v>3</v>
      </c>
      <c r="E37" s="603" t="s">
        <v>3</v>
      </c>
      <c r="F37" s="603" t="s">
        <v>4</v>
      </c>
      <c r="G37" s="612" t="str">
        <f>Annex2_Equipment!C58</f>
        <v>Temperature logger</v>
      </c>
      <c r="H37" s="143">
        <f>VLOOKUP($G37,Annex2_Equipment!$C$26:$E$66,3,FALSE)</f>
        <v>3</v>
      </c>
      <c r="I37" s="95">
        <v>3</v>
      </c>
      <c r="J37" s="625">
        <f>VLOOKUP($G37,Annex2_Equipment!$C$26:$E$66,2,FALSE)</f>
        <v>170.4</v>
      </c>
      <c r="K37" s="142">
        <f t="shared" si="1"/>
        <v>511.20000000000005</v>
      </c>
      <c r="L37" s="650">
        <v>10</v>
      </c>
      <c r="M37" s="95"/>
      <c r="N37" s="142">
        <f t="shared" si="10"/>
        <v>51.120000000000005</v>
      </c>
      <c r="O37" s="614">
        <f t="shared" si="2"/>
        <v>76.680000000000007</v>
      </c>
      <c r="P37" s="704">
        <v>1</v>
      </c>
      <c r="Q37" s="76">
        <f t="shared" si="3"/>
        <v>51.120000000000005</v>
      </c>
      <c r="R37" s="76">
        <f t="shared" si="4"/>
        <v>76.680000000000007</v>
      </c>
      <c r="S37" s="76">
        <f t="shared" si="5"/>
        <v>127.80000000000001</v>
      </c>
      <c r="T37" s="76">
        <f t="shared" si="6"/>
        <v>63.900000000000006</v>
      </c>
      <c r="V37" s="227">
        <f>IFERROR('Reagents and consumables'!$O$2*S37,"")</f>
        <v>0</v>
      </c>
      <c r="AA37" s="228" t="str">
        <f t="shared" si="7"/>
        <v/>
      </c>
      <c r="AB37" s="229" t="str">
        <f t="shared" si="8"/>
        <v/>
      </c>
      <c r="AC37" s="230" t="str">
        <f t="shared" si="9"/>
        <v/>
      </c>
    </row>
    <row r="38" spans="1:29" ht="20.25" customHeight="1">
      <c r="A38" s="218" t="str">
        <f t="shared" si="11"/>
        <v>Buy</v>
      </c>
      <c r="B38" s="603" t="s">
        <v>3</v>
      </c>
      <c r="C38" s="603" t="s">
        <v>3</v>
      </c>
      <c r="D38" s="603" t="s">
        <v>3</v>
      </c>
      <c r="E38" s="603" t="s">
        <v>4</v>
      </c>
      <c r="F38" s="603" t="s">
        <v>3</v>
      </c>
      <c r="G38" s="612" t="str">
        <f>Annex2_Equipment!C59</f>
        <v>Centrifuge (plate)</v>
      </c>
      <c r="H38" s="143">
        <f>VLOOKUP($G38,Annex2_Equipment!$C$26:$E$66,3,FALSE)</f>
        <v>2</v>
      </c>
      <c r="I38" s="95">
        <v>1</v>
      </c>
      <c r="J38" s="625">
        <f>VLOOKUP($G38,Annex2_Equipment!$C$26:$E$66,2,FALSE)</f>
        <v>670.5</v>
      </c>
      <c r="K38" s="142">
        <f t="shared" si="1"/>
        <v>670.5</v>
      </c>
      <c r="L38" s="650">
        <v>10</v>
      </c>
      <c r="M38" s="95"/>
      <c r="N38" s="142">
        <f t="shared" si="10"/>
        <v>67.05</v>
      </c>
      <c r="O38" s="614">
        <f t="shared" si="2"/>
        <v>100.575</v>
      </c>
      <c r="P38" s="704">
        <v>1</v>
      </c>
      <c r="Q38" s="76">
        <f t="shared" si="3"/>
        <v>67.05</v>
      </c>
      <c r="R38" s="76">
        <f t="shared" si="4"/>
        <v>100.575</v>
      </c>
      <c r="S38" s="76">
        <f t="shared" si="5"/>
        <v>167.625</v>
      </c>
      <c r="T38" s="76">
        <f t="shared" si="6"/>
        <v>167.625</v>
      </c>
      <c r="V38" s="227">
        <f>IFERROR('Reagents and consumables'!$O$2*S38,"")</f>
        <v>0</v>
      </c>
      <c r="AA38" s="228">
        <f t="shared" si="7"/>
        <v>670.5</v>
      </c>
      <c r="AB38" s="229">
        <f t="shared" si="8"/>
        <v>1</v>
      </c>
      <c r="AC38" s="230" t="str">
        <f t="shared" si="9"/>
        <v>Centrifuge (plate)</v>
      </c>
    </row>
    <row r="39" spans="1:29" ht="20.25" customHeight="1">
      <c r="A39" s="218" t="str">
        <f t="shared" si="11"/>
        <v>Buy</v>
      </c>
      <c r="B39" s="603" t="s">
        <v>3</v>
      </c>
      <c r="C39" s="603" t="s">
        <v>4</v>
      </c>
      <c r="D39" s="603" t="s">
        <v>4</v>
      </c>
      <c r="E39" s="603" t="s">
        <v>3</v>
      </c>
      <c r="F39" s="603" t="s">
        <v>3</v>
      </c>
      <c r="G39" s="612" t="str">
        <f>Annex2_Equipment!C60</f>
        <v>Microcentrifuge (can hold  24 tubes of 1.5/2.0 mL)</v>
      </c>
      <c r="H39" s="143">
        <f>VLOOKUP($G39,Annex2_Equipment!$C$26:$E$66,3,FALSE)</f>
        <v>2</v>
      </c>
      <c r="I39" s="95">
        <v>1</v>
      </c>
      <c r="J39" s="625">
        <f>VLOOKUP($G39,Annex2_Equipment!$C$26:$E$66,2,FALSE)</f>
        <v>5760</v>
      </c>
      <c r="K39" s="142">
        <f t="shared" si="1"/>
        <v>5760</v>
      </c>
      <c r="L39" s="650">
        <v>10</v>
      </c>
      <c r="M39" s="95"/>
      <c r="N39" s="142">
        <f t="shared" si="10"/>
        <v>576</v>
      </c>
      <c r="O39" s="614">
        <f t="shared" si="2"/>
        <v>864</v>
      </c>
      <c r="P39" s="704">
        <v>1</v>
      </c>
      <c r="Q39" s="76">
        <f t="shared" si="3"/>
        <v>576</v>
      </c>
      <c r="R39" s="76">
        <f t="shared" si="4"/>
        <v>864</v>
      </c>
      <c r="S39" s="76">
        <f t="shared" si="5"/>
        <v>1440</v>
      </c>
      <c r="T39" s="76">
        <f t="shared" si="6"/>
        <v>720</v>
      </c>
      <c r="V39" s="227">
        <f>IFERROR('Reagents and consumables'!$O$2*S39,"")</f>
        <v>0</v>
      </c>
      <c r="AA39" s="228">
        <f t="shared" si="7"/>
        <v>5760</v>
      </c>
      <c r="AB39" s="229">
        <f t="shared" si="8"/>
        <v>1</v>
      </c>
      <c r="AC39" s="230" t="str">
        <f t="shared" si="9"/>
        <v>Microcentrifuge (can hold  24 tubes of 1.5/2.0 mL)</v>
      </c>
    </row>
    <row r="40" spans="1:29" ht="20.25" customHeight="1">
      <c r="A40" s="218" t="str">
        <f t="shared" si="11"/>
        <v/>
      </c>
      <c r="B40" s="603" t="s">
        <v>3</v>
      </c>
      <c r="C40" s="603" t="s">
        <v>4</v>
      </c>
      <c r="D40" s="603" t="s">
        <v>3</v>
      </c>
      <c r="E40" s="603" t="s">
        <v>3</v>
      </c>
      <c r="F40" s="603" t="s">
        <v>3</v>
      </c>
      <c r="G40" s="612" t="str">
        <f>Annex2_Equipment!C61</f>
        <v>Centrifuge, refrigerated</v>
      </c>
      <c r="H40" s="143">
        <f>VLOOKUP($G40,Annex2_Equipment!$C$26:$E$66,3,FALSE)</f>
        <v>2</v>
      </c>
      <c r="I40" s="95">
        <v>2</v>
      </c>
      <c r="J40" s="625">
        <f>VLOOKUP($G40,Annex2_Equipment!$C$26:$E$66,2,FALSE)</f>
        <v>5554.8</v>
      </c>
      <c r="K40" s="142">
        <f t="shared" si="1"/>
        <v>11109.6</v>
      </c>
      <c r="L40" s="650">
        <v>10</v>
      </c>
      <c r="M40" s="95"/>
      <c r="N40" s="142">
        <f t="shared" si="10"/>
        <v>1110.96</v>
      </c>
      <c r="O40" s="614">
        <f t="shared" si="2"/>
        <v>1666.44</v>
      </c>
      <c r="P40" s="704">
        <v>1</v>
      </c>
      <c r="Q40" s="76">
        <f t="shared" si="3"/>
        <v>1110.96</v>
      </c>
      <c r="R40" s="76">
        <f t="shared" si="4"/>
        <v>1666.44</v>
      </c>
      <c r="S40" s="76">
        <f t="shared" si="5"/>
        <v>2777.4</v>
      </c>
      <c r="T40" s="76">
        <f t="shared" si="6"/>
        <v>2777.4</v>
      </c>
      <c r="V40" s="227">
        <f>IFERROR('Reagents and consumables'!$O$2*S40,"")</f>
        <v>0</v>
      </c>
      <c r="AA40" s="228" t="str">
        <f t="shared" si="7"/>
        <v/>
      </c>
      <c r="AB40" s="229" t="str">
        <f t="shared" si="8"/>
        <v/>
      </c>
      <c r="AC40" s="230" t="str">
        <f t="shared" si="9"/>
        <v/>
      </c>
    </row>
    <row r="41" spans="1:29" ht="20.25" customHeight="1">
      <c r="A41" s="218" t="str">
        <f t="shared" si="11"/>
        <v/>
      </c>
      <c r="B41" s="603" t="s">
        <v>3</v>
      </c>
      <c r="C41" s="603" t="s">
        <v>3</v>
      </c>
      <c r="D41" s="603" t="s">
        <v>3</v>
      </c>
      <c r="E41" s="603" t="s">
        <v>4</v>
      </c>
      <c r="F41" s="603" t="s">
        <v>3</v>
      </c>
      <c r="G41" s="612" t="str">
        <f>Annex2_Equipment!C64</f>
        <v>Bioanalyzer/TapeStation</v>
      </c>
      <c r="H41" s="143">
        <f>VLOOKUP($G41,Annex2_Equipment!$C$26:$E$66,3,FALSE)</f>
        <v>1</v>
      </c>
      <c r="I41" s="95">
        <v>1</v>
      </c>
      <c r="J41" s="625">
        <f>VLOOKUP($G41,Annex2_Equipment!$C$26:$E$66,2,FALSE)</f>
        <v>42000</v>
      </c>
      <c r="K41" s="142">
        <f t="shared" ref="K41:K99" si="12">I41*J41</f>
        <v>42000</v>
      </c>
      <c r="L41" s="650">
        <v>10</v>
      </c>
      <c r="M41" s="95"/>
      <c r="N41" s="142">
        <f t="shared" si="10"/>
        <v>4200</v>
      </c>
      <c r="O41" s="614">
        <f t="shared" ref="O41:O99" si="13">(I41*J41)*0.15</f>
        <v>6300</v>
      </c>
      <c r="P41" s="704">
        <v>1</v>
      </c>
      <c r="Q41" s="76">
        <f t="shared" si="3"/>
        <v>4200</v>
      </c>
      <c r="R41" s="76">
        <f t="shared" si="4"/>
        <v>6300</v>
      </c>
      <c r="S41" s="76">
        <f t="shared" si="5"/>
        <v>10500</v>
      </c>
      <c r="T41" s="76">
        <f t="shared" si="6"/>
        <v>10500</v>
      </c>
      <c r="V41" s="227">
        <f>IFERROR('Reagents and consumables'!$O$2*S41,"")</f>
        <v>0</v>
      </c>
      <c r="AA41" s="228" t="str">
        <f t="shared" si="7"/>
        <v/>
      </c>
      <c r="AB41" s="229" t="str">
        <f t="shared" si="8"/>
        <v/>
      </c>
      <c r="AC41" s="230" t="str">
        <f t="shared" si="9"/>
        <v/>
      </c>
    </row>
    <row r="42" spans="1:29" ht="20.25" customHeight="1">
      <c r="A42" s="218" t="str">
        <f t="shared" si="11"/>
        <v/>
      </c>
      <c r="B42" s="603" t="s">
        <v>3</v>
      </c>
      <c r="C42" s="603" t="s">
        <v>3</v>
      </c>
      <c r="D42" s="603" t="s">
        <v>3</v>
      </c>
      <c r="E42" s="603" t="s">
        <v>4</v>
      </c>
      <c r="F42" s="603" t="s">
        <v>3</v>
      </c>
      <c r="G42" s="612" t="str">
        <f>Annex2_Equipment!C65</f>
        <v>Liquid handler – library preparation</v>
      </c>
      <c r="H42" s="143">
        <f>VLOOKUP($G42,Annex2_Equipment!$C$26:$E$66,3,FALSE)</f>
        <v>0</v>
      </c>
      <c r="I42" s="95"/>
      <c r="J42" s="625">
        <f>VLOOKUP($G42,Annex2_Equipment!$C$26:$E$66,2,FALSE)</f>
        <v>96000</v>
      </c>
      <c r="K42" s="142">
        <f t="shared" si="12"/>
        <v>0</v>
      </c>
      <c r="L42" s="650">
        <v>10</v>
      </c>
      <c r="M42" s="95"/>
      <c r="N42" s="142">
        <f t="shared" si="10"/>
        <v>0</v>
      </c>
      <c r="O42" s="614">
        <f t="shared" si="13"/>
        <v>0</v>
      </c>
      <c r="P42" s="704">
        <v>1</v>
      </c>
      <c r="Q42" s="76">
        <f t="shared" si="3"/>
        <v>0</v>
      </c>
      <c r="R42" s="76">
        <f t="shared" si="4"/>
        <v>0</v>
      </c>
      <c r="S42" s="76">
        <f t="shared" si="5"/>
        <v>0</v>
      </c>
      <c r="T42" s="76">
        <f t="shared" si="6"/>
        <v>0</v>
      </c>
      <c r="V42" s="227">
        <f>IFERROR('Reagents and consumables'!$O$2*S42,"")</f>
        <v>0</v>
      </c>
      <c r="AA42" s="228" t="str">
        <f t="shared" si="7"/>
        <v/>
      </c>
      <c r="AB42" s="229" t="str">
        <f t="shared" si="8"/>
        <v/>
      </c>
      <c r="AC42" s="230" t="str">
        <f t="shared" si="9"/>
        <v/>
      </c>
    </row>
    <row r="43" spans="1:29" ht="20.25" customHeight="1" thickBot="1">
      <c r="A43" s="218" t="str">
        <f t="shared" si="11"/>
        <v/>
      </c>
      <c r="B43" s="604" t="s">
        <v>3</v>
      </c>
      <c r="C43" s="604" t="s">
        <v>3</v>
      </c>
      <c r="D43" s="603" t="s">
        <v>3</v>
      </c>
      <c r="E43" s="603" t="s">
        <v>3</v>
      </c>
      <c r="F43" s="603" t="s">
        <v>4</v>
      </c>
      <c r="G43" s="612" t="str">
        <f>Annex2_Equipment!C66</f>
        <v>Desktop computer</v>
      </c>
      <c r="H43" s="233">
        <f>VLOOKUP($G43,Annex2_Equipment!$C$26:$E$66,3,FALSE)</f>
        <v>1</v>
      </c>
      <c r="I43" s="95">
        <v>1</v>
      </c>
      <c r="J43" s="624">
        <f>VLOOKUP($G43,Annex2_Equipment!$C$26:$E$66,2,FALSE)</f>
        <v>478.8</v>
      </c>
      <c r="K43" s="142">
        <f t="shared" si="12"/>
        <v>478.8</v>
      </c>
      <c r="L43" s="650">
        <v>10</v>
      </c>
      <c r="M43" s="95"/>
      <c r="N43" s="142">
        <f t="shared" si="10"/>
        <v>47.88</v>
      </c>
      <c r="O43" s="614">
        <f t="shared" si="13"/>
        <v>71.819999999999993</v>
      </c>
      <c r="P43" s="704">
        <v>1</v>
      </c>
      <c r="Q43" s="76">
        <f t="shared" si="3"/>
        <v>47.88</v>
      </c>
      <c r="R43" s="76">
        <f t="shared" si="4"/>
        <v>71.819999999999993</v>
      </c>
      <c r="S43" s="76">
        <f t="shared" si="5"/>
        <v>119.69999999999999</v>
      </c>
      <c r="T43" s="76">
        <f t="shared" si="6"/>
        <v>119.69999999999999</v>
      </c>
      <c r="V43" s="227">
        <f>IFERROR('Reagents and consumables'!$O$2*S43,"")</f>
        <v>0</v>
      </c>
      <c r="AA43" s="228" t="str">
        <f t="shared" si="7"/>
        <v/>
      </c>
      <c r="AB43" s="229" t="str">
        <f t="shared" si="8"/>
        <v/>
      </c>
      <c r="AC43" s="230" t="str">
        <f t="shared" si="9"/>
        <v/>
      </c>
    </row>
    <row r="44" spans="1:29" ht="14.7" thickBot="1">
      <c r="A44" s="219"/>
      <c r="B44" s="605"/>
      <c r="C44" s="605"/>
      <c r="D44" s="606"/>
      <c r="E44" s="606"/>
      <c r="F44" s="606"/>
      <c r="G44" s="533"/>
      <c r="H44" s="234"/>
      <c r="I44" s="534"/>
      <c r="J44" s="537"/>
      <c r="K44" s="220">
        <f t="shared" ref="K44" si="14">I44*J44</f>
        <v>0</v>
      </c>
      <c r="L44" s="534"/>
      <c r="M44" s="534"/>
      <c r="N44" s="142">
        <f t="shared" si="10"/>
        <v>0</v>
      </c>
      <c r="O44" s="622">
        <f t="shared" ref="O44" si="15">(I44*J44)*0.15</f>
        <v>0</v>
      </c>
      <c r="P44" s="701"/>
      <c r="Q44" s="76">
        <f t="shared" si="3"/>
        <v>0</v>
      </c>
      <c r="R44" s="76">
        <f t="shared" si="4"/>
        <v>0</v>
      </c>
      <c r="S44" s="76">
        <f t="shared" si="5"/>
        <v>0</v>
      </c>
      <c r="T44" s="76">
        <f t="shared" si="6"/>
        <v>0</v>
      </c>
      <c r="V44" s="227">
        <f>IFERROR('Reagents and consumables'!$O$2*S44,"")</f>
        <v>0</v>
      </c>
      <c r="AA44" s="753"/>
      <c r="AB44" s="754"/>
      <c r="AC44" s="755"/>
    </row>
    <row r="45" spans="1:29">
      <c r="A45" s="218"/>
      <c r="B45" s="607"/>
      <c r="C45" s="607"/>
      <c r="D45" s="607"/>
      <c r="E45" s="607"/>
      <c r="F45" s="607"/>
      <c r="G45" s="105"/>
      <c r="H45" s="143"/>
      <c r="I45" s="95"/>
      <c r="J45" s="94"/>
      <c r="K45" s="142">
        <f t="shared" si="12"/>
        <v>0</v>
      </c>
      <c r="L45" s="95"/>
      <c r="M45" s="95"/>
      <c r="N45" s="142">
        <f t="shared" si="10"/>
        <v>0</v>
      </c>
      <c r="O45" s="614">
        <f t="shared" si="13"/>
        <v>0</v>
      </c>
      <c r="P45" s="704"/>
      <c r="Q45" s="76">
        <f t="shared" si="3"/>
        <v>0</v>
      </c>
      <c r="R45" s="76">
        <f t="shared" si="4"/>
        <v>0</v>
      </c>
      <c r="S45" s="76">
        <f t="shared" si="5"/>
        <v>0</v>
      </c>
      <c r="T45" s="76">
        <f t="shared" si="6"/>
        <v>0</v>
      </c>
      <c r="V45" s="227">
        <f>IFERROR('Reagents and consumables'!$O$2*S45,"")</f>
        <v>0</v>
      </c>
    </row>
    <row r="46" spans="1:29">
      <c r="A46" s="218"/>
      <c r="B46" s="607"/>
      <c r="C46" s="607"/>
      <c r="D46" s="607"/>
      <c r="E46" s="607"/>
      <c r="F46" s="607"/>
      <c r="G46" s="105"/>
      <c r="H46" s="143"/>
      <c r="I46" s="95"/>
      <c r="J46" s="94"/>
      <c r="K46" s="142">
        <f t="shared" si="12"/>
        <v>0</v>
      </c>
      <c r="L46" s="95"/>
      <c r="M46" s="95"/>
      <c r="N46" s="142">
        <f t="shared" si="10"/>
        <v>0</v>
      </c>
      <c r="O46" s="614">
        <f t="shared" si="13"/>
        <v>0</v>
      </c>
      <c r="P46" s="704"/>
      <c r="Q46" s="76">
        <f t="shared" si="3"/>
        <v>0</v>
      </c>
      <c r="R46" s="76">
        <f t="shared" si="4"/>
        <v>0</v>
      </c>
      <c r="S46" s="76">
        <f t="shared" si="5"/>
        <v>0</v>
      </c>
      <c r="T46" s="76">
        <f t="shared" si="6"/>
        <v>0</v>
      </c>
      <c r="V46" s="227">
        <f>IFERROR('Reagents and consumables'!$O$2*S46,"")</f>
        <v>0</v>
      </c>
    </row>
    <row r="47" spans="1:29">
      <c r="A47" s="218"/>
      <c r="B47" s="607"/>
      <c r="C47" s="607"/>
      <c r="D47" s="607"/>
      <c r="E47" s="607"/>
      <c r="F47" s="607"/>
      <c r="G47" s="105"/>
      <c r="H47" s="143"/>
      <c r="I47" s="95"/>
      <c r="J47" s="94"/>
      <c r="K47" s="142">
        <f t="shared" si="12"/>
        <v>0</v>
      </c>
      <c r="L47" s="95"/>
      <c r="M47" s="95"/>
      <c r="N47" s="142">
        <f t="shared" si="10"/>
        <v>0</v>
      </c>
      <c r="O47" s="614">
        <f t="shared" si="13"/>
        <v>0</v>
      </c>
      <c r="P47" s="704"/>
      <c r="Q47" s="76">
        <f t="shared" si="3"/>
        <v>0</v>
      </c>
      <c r="R47" s="76">
        <f t="shared" si="4"/>
        <v>0</v>
      </c>
      <c r="S47" s="76">
        <f t="shared" si="5"/>
        <v>0</v>
      </c>
      <c r="T47" s="76">
        <f t="shared" si="6"/>
        <v>0</v>
      </c>
      <c r="V47" s="227">
        <f>IFERROR('Reagents and consumables'!$O$2*S47,"")</f>
        <v>0</v>
      </c>
    </row>
    <row r="48" spans="1:29">
      <c r="A48" s="218"/>
      <c r="B48" s="607"/>
      <c r="C48" s="607"/>
      <c r="D48" s="607"/>
      <c r="E48" s="607"/>
      <c r="F48" s="607"/>
      <c r="G48" s="105"/>
      <c r="H48" s="143"/>
      <c r="I48" s="95"/>
      <c r="J48" s="94"/>
      <c r="K48" s="142">
        <f t="shared" si="12"/>
        <v>0</v>
      </c>
      <c r="L48" s="95"/>
      <c r="M48" s="95"/>
      <c r="N48" s="142">
        <f t="shared" si="10"/>
        <v>0</v>
      </c>
      <c r="O48" s="614">
        <f t="shared" si="13"/>
        <v>0</v>
      </c>
      <c r="P48" s="704"/>
      <c r="Q48" s="76">
        <f t="shared" si="3"/>
        <v>0</v>
      </c>
      <c r="R48" s="76">
        <f t="shared" si="4"/>
        <v>0</v>
      </c>
      <c r="S48" s="76">
        <f t="shared" si="5"/>
        <v>0</v>
      </c>
      <c r="T48" s="76">
        <f t="shared" si="6"/>
        <v>0</v>
      </c>
      <c r="V48" s="227">
        <f>IFERROR('Reagents and consumables'!$O$2*S48,"")</f>
        <v>0</v>
      </c>
    </row>
    <row r="49" spans="1:22">
      <c r="A49" s="218"/>
      <c r="B49" s="607"/>
      <c r="C49" s="607"/>
      <c r="D49" s="607"/>
      <c r="E49" s="607"/>
      <c r="F49" s="607"/>
      <c r="G49" s="105"/>
      <c r="H49" s="143"/>
      <c r="I49" s="95"/>
      <c r="J49" s="94"/>
      <c r="K49" s="142">
        <f t="shared" si="12"/>
        <v>0</v>
      </c>
      <c r="L49" s="95"/>
      <c r="M49" s="95"/>
      <c r="N49" s="142">
        <f t="shared" si="10"/>
        <v>0</v>
      </c>
      <c r="O49" s="614">
        <f t="shared" si="13"/>
        <v>0</v>
      </c>
      <c r="P49" s="704"/>
      <c r="Q49" s="76">
        <f t="shared" si="3"/>
        <v>0</v>
      </c>
      <c r="R49" s="76">
        <f t="shared" si="4"/>
        <v>0</v>
      </c>
      <c r="S49" s="76">
        <f t="shared" si="5"/>
        <v>0</v>
      </c>
      <c r="T49" s="76">
        <f t="shared" si="6"/>
        <v>0</v>
      </c>
      <c r="V49" s="227">
        <f>IFERROR('Reagents and consumables'!$O$2*S49,"")</f>
        <v>0</v>
      </c>
    </row>
    <row r="50" spans="1:22" ht="15" customHeight="1">
      <c r="A50" s="218"/>
      <c r="B50" s="607"/>
      <c r="C50" s="607"/>
      <c r="D50" s="607"/>
      <c r="E50" s="607"/>
      <c r="F50" s="607"/>
      <c r="G50" s="105"/>
      <c r="H50" s="143"/>
      <c r="I50" s="95"/>
      <c r="J50" s="94"/>
      <c r="K50" s="142">
        <f t="shared" si="12"/>
        <v>0</v>
      </c>
      <c r="L50" s="95"/>
      <c r="M50" s="95"/>
      <c r="N50" s="142">
        <f t="shared" si="10"/>
        <v>0</v>
      </c>
      <c r="O50" s="614">
        <f t="shared" si="13"/>
        <v>0</v>
      </c>
      <c r="P50" s="704"/>
      <c r="Q50" s="76">
        <f t="shared" si="3"/>
        <v>0</v>
      </c>
      <c r="R50" s="76">
        <f t="shared" si="4"/>
        <v>0</v>
      </c>
      <c r="S50" s="76">
        <f t="shared" si="5"/>
        <v>0</v>
      </c>
      <c r="T50" s="76">
        <f t="shared" si="6"/>
        <v>0</v>
      </c>
      <c r="V50" s="227">
        <f>IFERROR('Reagents and consumables'!$O$2*S50,"")</f>
        <v>0</v>
      </c>
    </row>
    <row r="51" spans="1:22">
      <c r="A51" s="218"/>
      <c r="B51" s="607"/>
      <c r="C51" s="607"/>
      <c r="D51" s="607"/>
      <c r="E51" s="607"/>
      <c r="F51" s="607"/>
      <c r="G51" s="105"/>
      <c r="H51" s="143"/>
      <c r="I51" s="95"/>
      <c r="J51" s="94"/>
      <c r="K51" s="142">
        <f t="shared" si="12"/>
        <v>0</v>
      </c>
      <c r="L51" s="95"/>
      <c r="M51" s="95"/>
      <c r="N51" s="142">
        <f t="shared" si="10"/>
        <v>0</v>
      </c>
      <c r="O51" s="614">
        <f t="shared" si="13"/>
        <v>0</v>
      </c>
      <c r="P51" s="704"/>
      <c r="Q51" s="76">
        <f t="shared" si="3"/>
        <v>0</v>
      </c>
      <c r="R51" s="76">
        <f t="shared" si="4"/>
        <v>0</v>
      </c>
      <c r="S51" s="76">
        <f t="shared" si="5"/>
        <v>0</v>
      </c>
      <c r="T51" s="76">
        <f t="shared" si="6"/>
        <v>0</v>
      </c>
      <c r="V51" s="227">
        <f>IFERROR('Reagents and consumables'!$O$2*S51,"")</f>
        <v>0</v>
      </c>
    </row>
    <row r="52" spans="1:22">
      <c r="A52" s="218"/>
      <c r="B52" s="607"/>
      <c r="C52" s="607"/>
      <c r="D52" s="607"/>
      <c r="E52" s="607"/>
      <c r="F52" s="607"/>
      <c r="G52" s="105"/>
      <c r="H52" s="143"/>
      <c r="I52" s="95"/>
      <c r="J52" s="94"/>
      <c r="K52" s="142">
        <f t="shared" si="12"/>
        <v>0</v>
      </c>
      <c r="L52" s="95"/>
      <c r="M52" s="95"/>
      <c r="N52" s="142">
        <f t="shared" si="10"/>
        <v>0</v>
      </c>
      <c r="O52" s="614">
        <f t="shared" si="13"/>
        <v>0</v>
      </c>
      <c r="P52" s="704"/>
      <c r="Q52" s="76">
        <f t="shared" si="3"/>
        <v>0</v>
      </c>
      <c r="R52" s="76">
        <f t="shared" si="4"/>
        <v>0</v>
      </c>
      <c r="S52" s="76">
        <f t="shared" si="5"/>
        <v>0</v>
      </c>
      <c r="T52" s="76">
        <f t="shared" si="6"/>
        <v>0</v>
      </c>
      <c r="V52" s="227">
        <f>IFERROR('Reagents and consumables'!$O$2*S52,"")</f>
        <v>0</v>
      </c>
    </row>
    <row r="53" spans="1:22">
      <c r="A53" s="218"/>
      <c r="B53" s="607"/>
      <c r="C53" s="607"/>
      <c r="D53" s="607"/>
      <c r="E53" s="607"/>
      <c r="F53" s="607"/>
      <c r="G53" s="105"/>
      <c r="H53" s="143"/>
      <c r="I53" s="95"/>
      <c r="J53" s="94"/>
      <c r="K53" s="142">
        <f t="shared" si="12"/>
        <v>0</v>
      </c>
      <c r="L53" s="95"/>
      <c r="M53" s="95"/>
      <c r="N53" s="142">
        <f t="shared" si="10"/>
        <v>0</v>
      </c>
      <c r="O53" s="614">
        <f t="shared" si="13"/>
        <v>0</v>
      </c>
      <c r="P53" s="704"/>
      <c r="Q53" s="76">
        <f t="shared" si="3"/>
        <v>0</v>
      </c>
      <c r="R53" s="76">
        <f t="shared" si="4"/>
        <v>0</v>
      </c>
      <c r="S53" s="76">
        <f t="shared" si="5"/>
        <v>0</v>
      </c>
      <c r="T53" s="76">
        <f t="shared" si="6"/>
        <v>0</v>
      </c>
      <c r="V53" s="227">
        <f>IFERROR('Reagents and consumables'!$O$2*S53,"")</f>
        <v>0</v>
      </c>
    </row>
    <row r="54" spans="1:22">
      <c r="A54" s="218"/>
      <c r="B54" s="607"/>
      <c r="C54" s="607"/>
      <c r="D54" s="607"/>
      <c r="E54" s="607"/>
      <c r="F54" s="607"/>
      <c r="G54" s="105"/>
      <c r="H54" s="143"/>
      <c r="I54" s="95"/>
      <c r="J54" s="94"/>
      <c r="K54" s="142">
        <f t="shared" si="12"/>
        <v>0</v>
      </c>
      <c r="L54" s="95"/>
      <c r="M54" s="95"/>
      <c r="N54" s="142">
        <f t="shared" si="10"/>
        <v>0</v>
      </c>
      <c r="O54" s="614">
        <f t="shared" si="13"/>
        <v>0</v>
      </c>
      <c r="P54" s="704"/>
      <c r="Q54" s="76">
        <f t="shared" si="3"/>
        <v>0</v>
      </c>
      <c r="R54" s="76">
        <f t="shared" si="4"/>
        <v>0</v>
      </c>
      <c r="S54" s="76">
        <f t="shared" si="5"/>
        <v>0</v>
      </c>
      <c r="T54" s="76">
        <f t="shared" si="6"/>
        <v>0</v>
      </c>
      <c r="V54" s="227">
        <f>IFERROR('Reagents and consumables'!$O$2*S54,"")</f>
        <v>0</v>
      </c>
    </row>
    <row r="55" spans="1:22">
      <c r="A55" s="218"/>
      <c r="B55" s="607"/>
      <c r="C55" s="607"/>
      <c r="D55" s="607"/>
      <c r="E55" s="607"/>
      <c r="F55" s="607"/>
      <c r="G55" s="105"/>
      <c r="H55" s="143"/>
      <c r="I55" s="95"/>
      <c r="J55" s="94"/>
      <c r="K55" s="142">
        <f t="shared" si="12"/>
        <v>0</v>
      </c>
      <c r="L55" s="95"/>
      <c r="M55" s="95"/>
      <c r="N55" s="142">
        <f t="shared" si="10"/>
        <v>0</v>
      </c>
      <c r="O55" s="614">
        <f t="shared" si="13"/>
        <v>0</v>
      </c>
      <c r="P55" s="704"/>
      <c r="Q55" s="76">
        <f t="shared" si="3"/>
        <v>0</v>
      </c>
      <c r="R55" s="76">
        <f t="shared" si="4"/>
        <v>0</v>
      </c>
      <c r="S55" s="76">
        <f t="shared" si="5"/>
        <v>0</v>
      </c>
      <c r="T55" s="76">
        <f t="shared" si="6"/>
        <v>0</v>
      </c>
      <c r="V55" s="227">
        <f>IFERROR('Reagents and consumables'!$O$2*S55,"")</f>
        <v>0</v>
      </c>
    </row>
    <row r="56" spans="1:22">
      <c r="A56" s="218"/>
      <c r="B56" s="607"/>
      <c r="C56" s="607"/>
      <c r="D56" s="607"/>
      <c r="E56" s="607"/>
      <c r="F56" s="607"/>
      <c r="G56" s="105"/>
      <c r="H56" s="143"/>
      <c r="I56" s="95"/>
      <c r="J56" s="94"/>
      <c r="K56" s="142">
        <f t="shared" si="12"/>
        <v>0</v>
      </c>
      <c r="L56" s="95"/>
      <c r="M56" s="95"/>
      <c r="N56" s="142">
        <f t="shared" si="10"/>
        <v>0</v>
      </c>
      <c r="O56" s="614">
        <f t="shared" si="13"/>
        <v>0</v>
      </c>
      <c r="P56" s="704"/>
      <c r="Q56" s="76">
        <f t="shared" si="3"/>
        <v>0</v>
      </c>
      <c r="R56" s="76">
        <f t="shared" si="4"/>
        <v>0</v>
      </c>
      <c r="S56" s="76">
        <f t="shared" si="5"/>
        <v>0</v>
      </c>
      <c r="T56" s="76">
        <f t="shared" si="6"/>
        <v>0</v>
      </c>
      <c r="V56" s="227">
        <f>IFERROR('Reagents and consumables'!$O$2*S56,"")</f>
        <v>0</v>
      </c>
    </row>
    <row r="57" spans="1:22">
      <c r="A57" s="218"/>
      <c r="B57" s="607"/>
      <c r="C57" s="607"/>
      <c r="D57" s="607"/>
      <c r="E57" s="607"/>
      <c r="F57" s="607"/>
      <c r="G57" s="105"/>
      <c r="H57" s="143"/>
      <c r="I57" s="95"/>
      <c r="J57" s="94"/>
      <c r="K57" s="142">
        <f t="shared" si="12"/>
        <v>0</v>
      </c>
      <c r="L57" s="95"/>
      <c r="M57" s="95"/>
      <c r="N57" s="142">
        <f t="shared" si="10"/>
        <v>0</v>
      </c>
      <c r="O57" s="614">
        <f t="shared" si="13"/>
        <v>0</v>
      </c>
      <c r="P57" s="704"/>
      <c r="Q57" s="76">
        <f t="shared" si="3"/>
        <v>0</v>
      </c>
      <c r="R57" s="76">
        <f t="shared" si="4"/>
        <v>0</v>
      </c>
      <c r="S57" s="76">
        <f t="shared" si="5"/>
        <v>0</v>
      </c>
      <c r="T57" s="76">
        <f t="shared" si="6"/>
        <v>0</v>
      </c>
      <c r="V57" s="227">
        <f>IFERROR('Reagents and consumables'!$O$2*S57,"")</f>
        <v>0</v>
      </c>
    </row>
    <row r="58" spans="1:22">
      <c r="A58" s="218"/>
      <c r="B58" s="607"/>
      <c r="C58" s="607"/>
      <c r="D58" s="607"/>
      <c r="E58" s="607"/>
      <c r="F58" s="607"/>
      <c r="G58" s="105"/>
      <c r="H58" s="143"/>
      <c r="I58" s="95"/>
      <c r="J58" s="94"/>
      <c r="K58" s="142">
        <f t="shared" si="12"/>
        <v>0</v>
      </c>
      <c r="L58" s="95"/>
      <c r="M58" s="95"/>
      <c r="N58" s="142">
        <f t="shared" si="10"/>
        <v>0</v>
      </c>
      <c r="O58" s="614">
        <f t="shared" si="13"/>
        <v>0</v>
      </c>
      <c r="P58" s="704"/>
      <c r="Q58" s="76">
        <f t="shared" si="3"/>
        <v>0</v>
      </c>
      <c r="R58" s="76">
        <f t="shared" si="4"/>
        <v>0</v>
      </c>
      <c r="S58" s="76">
        <f t="shared" si="5"/>
        <v>0</v>
      </c>
      <c r="T58" s="76">
        <f t="shared" si="6"/>
        <v>0</v>
      </c>
      <c r="V58" s="227">
        <f>IFERROR('Reagents and consumables'!$O$2*S58,"")</f>
        <v>0</v>
      </c>
    </row>
    <row r="59" spans="1:22">
      <c r="A59" s="218"/>
      <c r="B59" s="607"/>
      <c r="C59" s="607"/>
      <c r="D59" s="607"/>
      <c r="E59" s="607"/>
      <c r="F59" s="607"/>
      <c r="G59" s="105"/>
      <c r="H59" s="143"/>
      <c r="I59" s="95"/>
      <c r="J59" s="94"/>
      <c r="K59" s="142">
        <f t="shared" si="12"/>
        <v>0</v>
      </c>
      <c r="L59" s="95"/>
      <c r="M59" s="95"/>
      <c r="N59" s="142">
        <f t="shared" si="10"/>
        <v>0</v>
      </c>
      <c r="O59" s="614">
        <f t="shared" si="13"/>
        <v>0</v>
      </c>
      <c r="P59" s="704"/>
      <c r="Q59" s="76">
        <f t="shared" si="3"/>
        <v>0</v>
      </c>
      <c r="R59" s="76">
        <f t="shared" si="4"/>
        <v>0</v>
      </c>
      <c r="S59" s="76">
        <f t="shared" si="5"/>
        <v>0</v>
      </c>
      <c r="T59" s="76">
        <f t="shared" si="6"/>
        <v>0</v>
      </c>
      <c r="V59" s="227">
        <f>IFERROR('Reagents and consumables'!$O$2*S59,"")</f>
        <v>0</v>
      </c>
    </row>
    <row r="60" spans="1:22">
      <c r="A60" s="218"/>
      <c r="B60" s="607"/>
      <c r="C60" s="607"/>
      <c r="D60" s="607"/>
      <c r="E60" s="607"/>
      <c r="F60" s="607"/>
      <c r="G60" s="105"/>
      <c r="H60" s="143"/>
      <c r="I60" s="95"/>
      <c r="J60" s="94"/>
      <c r="K60" s="142">
        <f t="shared" si="12"/>
        <v>0</v>
      </c>
      <c r="L60" s="95"/>
      <c r="M60" s="95"/>
      <c r="N60" s="142">
        <f t="shared" si="10"/>
        <v>0</v>
      </c>
      <c r="O60" s="614">
        <f t="shared" si="13"/>
        <v>0</v>
      </c>
      <c r="P60" s="704"/>
      <c r="Q60" s="76">
        <f t="shared" si="3"/>
        <v>0</v>
      </c>
      <c r="R60" s="76">
        <f t="shared" si="4"/>
        <v>0</v>
      </c>
      <c r="S60" s="76">
        <f t="shared" si="5"/>
        <v>0</v>
      </c>
      <c r="T60" s="76">
        <f t="shared" si="6"/>
        <v>0</v>
      </c>
      <c r="V60" s="227">
        <f>IFERROR('Reagents and consumables'!$O$2*S60,"")</f>
        <v>0</v>
      </c>
    </row>
    <row r="61" spans="1:22">
      <c r="A61" s="218"/>
      <c r="B61" s="607"/>
      <c r="C61" s="607"/>
      <c r="D61" s="607"/>
      <c r="E61" s="607"/>
      <c r="F61" s="607"/>
      <c r="G61" s="105"/>
      <c r="H61" s="143"/>
      <c r="I61" s="95"/>
      <c r="J61" s="94"/>
      <c r="K61" s="142">
        <f t="shared" si="12"/>
        <v>0</v>
      </c>
      <c r="L61" s="95"/>
      <c r="M61" s="95"/>
      <c r="N61" s="142">
        <f t="shared" si="10"/>
        <v>0</v>
      </c>
      <c r="O61" s="614">
        <f t="shared" si="13"/>
        <v>0</v>
      </c>
      <c r="P61" s="704"/>
      <c r="Q61" s="76">
        <f t="shared" si="3"/>
        <v>0</v>
      </c>
      <c r="R61" s="76">
        <f t="shared" si="4"/>
        <v>0</v>
      </c>
      <c r="S61" s="76">
        <f t="shared" si="5"/>
        <v>0</v>
      </c>
      <c r="T61" s="76">
        <f t="shared" si="6"/>
        <v>0</v>
      </c>
      <c r="V61" s="227">
        <f>IFERROR('Reagents and consumables'!$O$2*S61,"")</f>
        <v>0</v>
      </c>
    </row>
    <row r="62" spans="1:22">
      <c r="A62" s="218"/>
      <c r="B62" s="607"/>
      <c r="C62" s="607"/>
      <c r="D62" s="607"/>
      <c r="E62" s="607"/>
      <c r="F62" s="607"/>
      <c r="G62" s="105"/>
      <c r="H62" s="143"/>
      <c r="I62" s="95"/>
      <c r="J62" s="94"/>
      <c r="K62" s="142">
        <f t="shared" si="12"/>
        <v>0</v>
      </c>
      <c r="L62" s="95"/>
      <c r="M62" s="95"/>
      <c r="N62" s="142">
        <f t="shared" si="10"/>
        <v>0</v>
      </c>
      <c r="O62" s="614">
        <f t="shared" si="13"/>
        <v>0</v>
      </c>
      <c r="P62" s="704"/>
      <c r="Q62" s="76">
        <f t="shared" si="3"/>
        <v>0</v>
      </c>
      <c r="R62" s="76">
        <f t="shared" si="4"/>
        <v>0</v>
      </c>
      <c r="S62" s="76">
        <f t="shared" si="5"/>
        <v>0</v>
      </c>
      <c r="T62" s="76">
        <f t="shared" si="6"/>
        <v>0</v>
      </c>
      <c r="V62" s="227">
        <f>IFERROR('Reagents and consumables'!$O$2*S62,"")</f>
        <v>0</v>
      </c>
    </row>
    <row r="63" spans="1:22">
      <c r="A63" s="218"/>
      <c r="B63" s="607"/>
      <c r="C63" s="607"/>
      <c r="D63" s="607"/>
      <c r="E63" s="607"/>
      <c r="F63" s="607"/>
      <c r="G63" s="105"/>
      <c r="H63" s="143"/>
      <c r="I63" s="95"/>
      <c r="J63" s="94"/>
      <c r="K63" s="142">
        <f t="shared" si="12"/>
        <v>0</v>
      </c>
      <c r="L63" s="95"/>
      <c r="M63" s="95"/>
      <c r="N63" s="142">
        <f t="shared" si="10"/>
        <v>0</v>
      </c>
      <c r="O63" s="614">
        <f t="shared" si="13"/>
        <v>0</v>
      </c>
      <c r="P63" s="704"/>
      <c r="Q63" s="76">
        <f t="shared" si="3"/>
        <v>0</v>
      </c>
      <c r="R63" s="76">
        <f t="shared" si="4"/>
        <v>0</v>
      </c>
      <c r="S63" s="76">
        <f t="shared" si="5"/>
        <v>0</v>
      </c>
      <c r="T63" s="76">
        <f t="shared" si="6"/>
        <v>0</v>
      </c>
      <c r="V63" s="227">
        <f>IFERROR('Reagents and consumables'!$O$2*S63,"")</f>
        <v>0</v>
      </c>
    </row>
    <row r="64" spans="1:22">
      <c r="A64" s="218"/>
      <c r="B64" s="607"/>
      <c r="C64" s="607"/>
      <c r="D64" s="607"/>
      <c r="E64" s="607"/>
      <c r="F64" s="607"/>
      <c r="G64" s="105"/>
      <c r="H64" s="143"/>
      <c r="I64" s="95"/>
      <c r="J64" s="94"/>
      <c r="K64" s="142">
        <f t="shared" si="12"/>
        <v>0</v>
      </c>
      <c r="L64" s="95"/>
      <c r="M64" s="95"/>
      <c r="N64" s="142">
        <f t="shared" si="10"/>
        <v>0</v>
      </c>
      <c r="O64" s="614">
        <f t="shared" si="13"/>
        <v>0</v>
      </c>
      <c r="P64" s="704"/>
      <c r="Q64" s="76">
        <f t="shared" si="3"/>
        <v>0</v>
      </c>
      <c r="R64" s="76">
        <f t="shared" si="4"/>
        <v>0</v>
      </c>
      <c r="S64" s="76">
        <f t="shared" si="5"/>
        <v>0</v>
      </c>
      <c r="T64" s="76">
        <f t="shared" si="6"/>
        <v>0</v>
      </c>
      <c r="V64" s="227">
        <f>IFERROR('Reagents and consumables'!$O$2*S64,"")</f>
        <v>0</v>
      </c>
    </row>
    <row r="65" spans="1:22">
      <c r="A65" s="218"/>
      <c r="B65" s="607"/>
      <c r="C65" s="607"/>
      <c r="D65" s="607"/>
      <c r="E65" s="607"/>
      <c r="F65" s="607"/>
      <c r="G65" s="105"/>
      <c r="H65" s="143"/>
      <c r="I65" s="95"/>
      <c r="J65" s="94"/>
      <c r="K65" s="142">
        <f t="shared" si="12"/>
        <v>0</v>
      </c>
      <c r="L65" s="95"/>
      <c r="M65" s="95"/>
      <c r="N65" s="142">
        <f t="shared" si="10"/>
        <v>0</v>
      </c>
      <c r="O65" s="614">
        <f t="shared" si="13"/>
        <v>0</v>
      </c>
      <c r="P65" s="704"/>
      <c r="Q65" s="76">
        <f t="shared" si="3"/>
        <v>0</v>
      </c>
      <c r="R65" s="76">
        <f t="shared" si="4"/>
        <v>0</v>
      </c>
      <c r="S65" s="76">
        <f t="shared" si="5"/>
        <v>0</v>
      </c>
      <c r="T65" s="76">
        <f t="shared" si="6"/>
        <v>0</v>
      </c>
      <c r="V65" s="227">
        <f>IFERROR('Reagents and consumables'!$O$2*S65,"")</f>
        <v>0</v>
      </c>
    </row>
    <row r="66" spans="1:22">
      <c r="A66" s="218"/>
      <c r="B66" s="607"/>
      <c r="C66" s="607"/>
      <c r="D66" s="607"/>
      <c r="E66" s="607"/>
      <c r="F66" s="607"/>
      <c r="G66" s="105"/>
      <c r="H66" s="143"/>
      <c r="I66" s="95"/>
      <c r="J66" s="94"/>
      <c r="K66" s="142">
        <f t="shared" si="12"/>
        <v>0</v>
      </c>
      <c r="L66" s="95"/>
      <c r="M66" s="95"/>
      <c r="N66" s="142">
        <f t="shared" si="10"/>
        <v>0</v>
      </c>
      <c r="O66" s="614">
        <f t="shared" si="13"/>
        <v>0</v>
      </c>
      <c r="P66" s="704"/>
      <c r="Q66" s="76">
        <f t="shared" si="3"/>
        <v>0</v>
      </c>
      <c r="R66" s="76">
        <f t="shared" si="4"/>
        <v>0</v>
      </c>
      <c r="S66" s="76">
        <f t="shared" si="5"/>
        <v>0</v>
      </c>
      <c r="T66" s="76">
        <f t="shared" si="6"/>
        <v>0</v>
      </c>
      <c r="V66" s="227">
        <f>IFERROR('Reagents and consumables'!$O$2*S66,"")</f>
        <v>0</v>
      </c>
    </row>
    <row r="67" spans="1:22">
      <c r="A67" s="218"/>
      <c r="B67" s="607"/>
      <c r="C67" s="607"/>
      <c r="D67" s="607"/>
      <c r="E67" s="607"/>
      <c r="F67" s="607"/>
      <c r="G67" s="105"/>
      <c r="H67" s="143"/>
      <c r="I67" s="95"/>
      <c r="J67" s="94"/>
      <c r="K67" s="142">
        <f t="shared" si="12"/>
        <v>0</v>
      </c>
      <c r="L67" s="95"/>
      <c r="M67" s="95"/>
      <c r="N67" s="142">
        <f t="shared" si="10"/>
        <v>0</v>
      </c>
      <c r="O67" s="614">
        <f t="shared" si="13"/>
        <v>0</v>
      </c>
      <c r="P67" s="704"/>
      <c r="Q67" s="76">
        <f t="shared" si="3"/>
        <v>0</v>
      </c>
      <c r="R67" s="76">
        <f t="shared" si="4"/>
        <v>0</v>
      </c>
      <c r="S67" s="76">
        <f t="shared" si="5"/>
        <v>0</v>
      </c>
      <c r="T67" s="76">
        <f t="shared" si="6"/>
        <v>0</v>
      </c>
      <c r="V67" s="227">
        <f>IFERROR('Reagents and consumables'!$O$2*S67,"")</f>
        <v>0</v>
      </c>
    </row>
    <row r="68" spans="1:22">
      <c r="A68" s="218"/>
      <c r="B68" s="607"/>
      <c r="C68" s="607"/>
      <c r="D68" s="607"/>
      <c r="E68" s="607"/>
      <c r="F68" s="607"/>
      <c r="G68" s="105"/>
      <c r="H68" s="143"/>
      <c r="I68" s="95"/>
      <c r="J68" s="94"/>
      <c r="K68" s="142">
        <f t="shared" si="12"/>
        <v>0</v>
      </c>
      <c r="L68" s="95"/>
      <c r="M68" s="95"/>
      <c r="N68" s="142">
        <f t="shared" si="10"/>
        <v>0</v>
      </c>
      <c r="O68" s="614">
        <f t="shared" si="13"/>
        <v>0</v>
      </c>
      <c r="P68" s="704"/>
      <c r="Q68" s="76">
        <f t="shared" si="3"/>
        <v>0</v>
      </c>
      <c r="R68" s="76">
        <f t="shared" si="4"/>
        <v>0</v>
      </c>
      <c r="S68" s="76">
        <f t="shared" si="5"/>
        <v>0</v>
      </c>
      <c r="T68" s="76">
        <f t="shared" si="6"/>
        <v>0</v>
      </c>
      <c r="V68" s="227">
        <f>IFERROR('Reagents and consumables'!$O$2*S68,"")</f>
        <v>0</v>
      </c>
    </row>
    <row r="69" spans="1:22">
      <c r="A69" s="218"/>
      <c r="B69" s="607"/>
      <c r="C69" s="607"/>
      <c r="D69" s="607"/>
      <c r="E69" s="607"/>
      <c r="F69" s="607"/>
      <c r="G69" s="105"/>
      <c r="H69" s="143"/>
      <c r="I69" s="95"/>
      <c r="J69" s="94"/>
      <c r="K69" s="142">
        <f t="shared" si="12"/>
        <v>0</v>
      </c>
      <c r="L69" s="95"/>
      <c r="M69" s="95"/>
      <c r="N69" s="142">
        <f t="shared" si="10"/>
        <v>0</v>
      </c>
      <c r="O69" s="614">
        <f t="shared" si="13"/>
        <v>0</v>
      </c>
      <c r="P69" s="704"/>
      <c r="Q69" s="76">
        <f t="shared" si="3"/>
        <v>0</v>
      </c>
      <c r="R69" s="76">
        <f t="shared" si="4"/>
        <v>0</v>
      </c>
      <c r="S69" s="76">
        <f t="shared" si="5"/>
        <v>0</v>
      </c>
      <c r="T69" s="76">
        <f t="shared" si="6"/>
        <v>0</v>
      </c>
      <c r="V69" s="227">
        <f>IFERROR('Reagents and consumables'!$O$2*S69,"")</f>
        <v>0</v>
      </c>
    </row>
    <row r="70" spans="1:22">
      <c r="A70" s="218"/>
      <c r="B70" s="607"/>
      <c r="C70" s="607"/>
      <c r="D70" s="607"/>
      <c r="E70" s="607"/>
      <c r="F70" s="607"/>
      <c r="G70" s="105"/>
      <c r="H70" s="143"/>
      <c r="I70" s="95"/>
      <c r="J70" s="94"/>
      <c r="K70" s="142">
        <f t="shared" si="12"/>
        <v>0</v>
      </c>
      <c r="L70" s="95"/>
      <c r="M70" s="95"/>
      <c r="N70" s="142">
        <f t="shared" si="10"/>
        <v>0</v>
      </c>
      <c r="O70" s="614">
        <f t="shared" si="13"/>
        <v>0</v>
      </c>
      <c r="P70" s="704"/>
      <c r="Q70" s="76">
        <f t="shared" ref="Q70:Q99" si="16">N70*P70</f>
        <v>0</v>
      </c>
      <c r="R70" s="76">
        <f t="shared" ref="R70:R99" si="17">O70*P70</f>
        <v>0</v>
      </c>
      <c r="S70" s="76">
        <f t="shared" ref="S70:S99" si="18">Q70+R70</f>
        <v>0</v>
      </c>
      <c r="T70" s="76">
        <f t="shared" ref="T70:T99" si="19">IFERROR($S70/COUNTIF($B70:$F70,"Yes"),0)</f>
        <v>0</v>
      </c>
      <c r="V70" s="227">
        <f>IFERROR('Reagents and consumables'!$O$2*S70,"")</f>
        <v>0</v>
      </c>
    </row>
    <row r="71" spans="1:22">
      <c r="A71" s="218"/>
      <c r="B71" s="607"/>
      <c r="C71" s="607"/>
      <c r="D71" s="607"/>
      <c r="E71" s="607"/>
      <c r="F71" s="607"/>
      <c r="G71" s="105"/>
      <c r="H71" s="143"/>
      <c r="I71" s="95"/>
      <c r="J71" s="94"/>
      <c r="K71" s="142">
        <f t="shared" si="12"/>
        <v>0</v>
      </c>
      <c r="L71" s="95"/>
      <c r="M71" s="95"/>
      <c r="N71" s="142">
        <f t="shared" si="10"/>
        <v>0</v>
      </c>
      <c r="O71" s="614">
        <f t="shared" si="13"/>
        <v>0</v>
      </c>
      <c r="P71" s="704"/>
      <c r="Q71" s="76">
        <f t="shared" si="16"/>
        <v>0</v>
      </c>
      <c r="R71" s="76">
        <f t="shared" si="17"/>
        <v>0</v>
      </c>
      <c r="S71" s="76">
        <f t="shared" si="18"/>
        <v>0</v>
      </c>
      <c r="T71" s="76">
        <f t="shared" si="19"/>
        <v>0</v>
      </c>
      <c r="V71" s="227">
        <f>IFERROR('Reagents and consumables'!$O$2*S71,"")</f>
        <v>0</v>
      </c>
    </row>
    <row r="72" spans="1:22">
      <c r="A72" s="218"/>
      <c r="B72" s="607"/>
      <c r="C72" s="607"/>
      <c r="D72" s="607"/>
      <c r="E72" s="607"/>
      <c r="F72" s="607"/>
      <c r="G72" s="105"/>
      <c r="H72" s="143"/>
      <c r="I72" s="95"/>
      <c r="J72" s="94"/>
      <c r="K72" s="142">
        <f t="shared" si="12"/>
        <v>0</v>
      </c>
      <c r="L72" s="95"/>
      <c r="M72" s="95"/>
      <c r="N72" s="142">
        <f t="shared" si="10"/>
        <v>0</v>
      </c>
      <c r="O72" s="614">
        <f t="shared" si="13"/>
        <v>0</v>
      </c>
      <c r="P72" s="704"/>
      <c r="Q72" s="76">
        <f t="shared" si="16"/>
        <v>0</v>
      </c>
      <c r="R72" s="76">
        <f t="shared" si="17"/>
        <v>0</v>
      </c>
      <c r="S72" s="76">
        <f t="shared" si="18"/>
        <v>0</v>
      </c>
      <c r="T72" s="76">
        <f t="shared" si="19"/>
        <v>0</v>
      </c>
      <c r="V72" s="227">
        <f>IFERROR('Reagents and consumables'!$O$2*S72,"")</f>
        <v>0</v>
      </c>
    </row>
    <row r="73" spans="1:22">
      <c r="A73" s="218"/>
      <c r="B73" s="607"/>
      <c r="C73" s="607"/>
      <c r="D73" s="607"/>
      <c r="E73" s="607"/>
      <c r="F73" s="607"/>
      <c r="G73" s="105"/>
      <c r="H73" s="143"/>
      <c r="I73" s="95"/>
      <c r="J73" s="94"/>
      <c r="K73" s="142">
        <f t="shared" si="12"/>
        <v>0</v>
      </c>
      <c r="L73" s="95"/>
      <c r="M73" s="95"/>
      <c r="N73" s="142">
        <f t="shared" ref="N73:N99" si="20">IFERROR(K73/L73,0)</f>
        <v>0</v>
      </c>
      <c r="O73" s="614">
        <f t="shared" si="13"/>
        <v>0</v>
      </c>
      <c r="P73" s="704"/>
      <c r="Q73" s="76">
        <f t="shared" si="16"/>
        <v>0</v>
      </c>
      <c r="R73" s="76">
        <f t="shared" si="17"/>
        <v>0</v>
      </c>
      <c r="S73" s="76">
        <f t="shared" si="18"/>
        <v>0</v>
      </c>
      <c r="T73" s="76">
        <f t="shared" si="19"/>
        <v>0</v>
      </c>
      <c r="V73" s="227">
        <f>IFERROR('Reagents and consumables'!$O$2*S73,"")</f>
        <v>0</v>
      </c>
    </row>
    <row r="74" spans="1:22">
      <c r="A74" s="218"/>
      <c r="B74" s="607"/>
      <c r="C74" s="607"/>
      <c r="D74" s="607"/>
      <c r="E74" s="607"/>
      <c r="F74" s="607"/>
      <c r="G74" s="105"/>
      <c r="H74" s="143"/>
      <c r="I74" s="95"/>
      <c r="J74" s="94"/>
      <c r="K74" s="142">
        <f t="shared" si="12"/>
        <v>0</v>
      </c>
      <c r="L74" s="95"/>
      <c r="M74" s="95"/>
      <c r="N74" s="142">
        <f t="shared" si="20"/>
        <v>0</v>
      </c>
      <c r="O74" s="614">
        <f t="shared" si="13"/>
        <v>0</v>
      </c>
      <c r="P74" s="704"/>
      <c r="Q74" s="76">
        <f t="shared" si="16"/>
        <v>0</v>
      </c>
      <c r="R74" s="76">
        <f t="shared" si="17"/>
        <v>0</v>
      </c>
      <c r="S74" s="76">
        <f t="shared" si="18"/>
        <v>0</v>
      </c>
      <c r="T74" s="76">
        <f t="shared" si="19"/>
        <v>0</v>
      </c>
      <c r="V74" s="227">
        <f>IFERROR('Reagents and consumables'!$O$2*S74,"")</f>
        <v>0</v>
      </c>
    </row>
    <row r="75" spans="1:22">
      <c r="A75" s="218"/>
      <c r="B75" s="607"/>
      <c r="C75" s="607"/>
      <c r="D75" s="607"/>
      <c r="E75" s="607"/>
      <c r="F75" s="607"/>
      <c r="G75" s="105"/>
      <c r="H75" s="143"/>
      <c r="I75" s="95"/>
      <c r="J75" s="94"/>
      <c r="K75" s="142">
        <f t="shared" si="12"/>
        <v>0</v>
      </c>
      <c r="L75" s="95"/>
      <c r="M75" s="95"/>
      <c r="N75" s="142">
        <f t="shared" si="20"/>
        <v>0</v>
      </c>
      <c r="O75" s="614">
        <f t="shared" si="13"/>
        <v>0</v>
      </c>
      <c r="P75" s="704"/>
      <c r="Q75" s="76">
        <f t="shared" si="16"/>
        <v>0</v>
      </c>
      <c r="R75" s="76">
        <f t="shared" si="17"/>
        <v>0</v>
      </c>
      <c r="S75" s="76">
        <f t="shared" si="18"/>
        <v>0</v>
      </c>
      <c r="T75" s="76">
        <f t="shared" si="19"/>
        <v>0</v>
      </c>
      <c r="V75" s="227">
        <f>IFERROR('Reagents and consumables'!$O$2*S75,"")</f>
        <v>0</v>
      </c>
    </row>
    <row r="76" spans="1:22">
      <c r="A76" s="218"/>
      <c r="B76" s="607"/>
      <c r="C76" s="607"/>
      <c r="D76" s="607"/>
      <c r="E76" s="607"/>
      <c r="F76" s="607"/>
      <c r="G76" s="105"/>
      <c r="H76" s="143"/>
      <c r="I76" s="95"/>
      <c r="J76" s="94"/>
      <c r="K76" s="142">
        <f t="shared" si="12"/>
        <v>0</v>
      </c>
      <c r="L76" s="95"/>
      <c r="M76" s="95"/>
      <c r="N76" s="142">
        <f t="shared" si="20"/>
        <v>0</v>
      </c>
      <c r="O76" s="614">
        <f t="shared" si="13"/>
        <v>0</v>
      </c>
      <c r="P76" s="704"/>
      <c r="Q76" s="76">
        <f t="shared" si="16"/>
        <v>0</v>
      </c>
      <c r="R76" s="76">
        <f t="shared" si="17"/>
        <v>0</v>
      </c>
      <c r="S76" s="76">
        <f t="shared" si="18"/>
        <v>0</v>
      </c>
      <c r="T76" s="76">
        <f t="shared" si="19"/>
        <v>0</v>
      </c>
      <c r="V76" s="227">
        <f>IFERROR('Reagents and consumables'!$O$2*S76,"")</f>
        <v>0</v>
      </c>
    </row>
    <row r="77" spans="1:22">
      <c r="A77" s="218"/>
      <c r="B77" s="607"/>
      <c r="C77" s="607"/>
      <c r="D77" s="607"/>
      <c r="E77" s="607"/>
      <c r="F77" s="607"/>
      <c r="G77" s="105"/>
      <c r="H77" s="143"/>
      <c r="I77" s="95"/>
      <c r="J77" s="94"/>
      <c r="K77" s="142">
        <f t="shared" si="12"/>
        <v>0</v>
      </c>
      <c r="L77" s="95"/>
      <c r="M77" s="95"/>
      <c r="N77" s="142">
        <f t="shared" si="20"/>
        <v>0</v>
      </c>
      <c r="O77" s="614">
        <f t="shared" si="13"/>
        <v>0</v>
      </c>
      <c r="P77" s="704"/>
      <c r="Q77" s="76">
        <f t="shared" si="16"/>
        <v>0</v>
      </c>
      <c r="R77" s="76">
        <f t="shared" si="17"/>
        <v>0</v>
      </c>
      <c r="S77" s="76">
        <f t="shared" si="18"/>
        <v>0</v>
      </c>
      <c r="T77" s="76">
        <f t="shared" si="19"/>
        <v>0</v>
      </c>
      <c r="V77" s="227">
        <f>IFERROR('Reagents and consumables'!$O$2*S77,"")</f>
        <v>0</v>
      </c>
    </row>
    <row r="78" spans="1:22">
      <c r="A78" s="218"/>
      <c r="B78" s="607"/>
      <c r="C78" s="607"/>
      <c r="D78" s="607"/>
      <c r="E78" s="607"/>
      <c r="F78" s="607"/>
      <c r="G78" s="105"/>
      <c r="H78" s="143"/>
      <c r="I78" s="95"/>
      <c r="J78" s="94"/>
      <c r="K78" s="142">
        <f t="shared" si="12"/>
        <v>0</v>
      </c>
      <c r="L78" s="95"/>
      <c r="M78" s="95"/>
      <c r="N78" s="142">
        <f t="shared" si="20"/>
        <v>0</v>
      </c>
      <c r="O78" s="614">
        <f t="shared" si="13"/>
        <v>0</v>
      </c>
      <c r="P78" s="704"/>
      <c r="Q78" s="76">
        <f t="shared" si="16"/>
        <v>0</v>
      </c>
      <c r="R78" s="76">
        <f t="shared" si="17"/>
        <v>0</v>
      </c>
      <c r="S78" s="76">
        <f t="shared" si="18"/>
        <v>0</v>
      </c>
      <c r="T78" s="76">
        <f t="shared" si="19"/>
        <v>0</v>
      </c>
      <c r="V78" s="227">
        <f>IFERROR('Reagents and consumables'!$O$2*S78,"")</f>
        <v>0</v>
      </c>
    </row>
    <row r="79" spans="1:22">
      <c r="A79" s="218"/>
      <c r="B79" s="607"/>
      <c r="C79" s="607"/>
      <c r="D79" s="607"/>
      <c r="E79" s="607"/>
      <c r="F79" s="607"/>
      <c r="G79" s="105"/>
      <c r="H79" s="143"/>
      <c r="I79" s="95"/>
      <c r="J79" s="94"/>
      <c r="K79" s="142">
        <f t="shared" si="12"/>
        <v>0</v>
      </c>
      <c r="L79" s="95"/>
      <c r="M79" s="95"/>
      <c r="N79" s="142">
        <f t="shared" si="20"/>
        <v>0</v>
      </c>
      <c r="O79" s="614">
        <f t="shared" si="13"/>
        <v>0</v>
      </c>
      <c r="P79" s="704"/>
      <c r="Q79" s="76">
        <f t="shared" si="16"/>
        <v>0</v>
      </c>
      <c r="R79" s="76">
        <f t="shared" si="17"/>
        <v>0</v>
      </c>
      <c r="S79" s="76">
        <f t="shared" si="18"/>
        <v>0</v>
      </c>
      <c r="T79" s="76">
        <f t="shared" si="19"/>
        <v>0</v>
      </c>
      <c r="V79" s="227">
        <f>IFERROR('Reagents and consumables'!$O$2*S79,"")</f>
        <v>0</v>
      </c>
    </row>
    <row r="80" spans="1:22">
      <c r="A80" s="218"/>
      <c r="B80" s="607"/>
      <c r="C80" s="607"/>
      <c r="D80" s="607"/>
      <c r="E80" s="607"/>
      <c r="F80" s="607"/>
      <c r="G80" s="105"/>
      <c r="H80" s="143"/>
      <c r="I80" s="95"/>
      <c r="J80" s="94"/>
      <c r="K80" s="142">
        <f t="shared" si="12"/>
        <v>0</v>
      </c>
      <c r="L80" s="95"/>
      <c r="M80" s="95"/>
      <c r="N80" s="142">
        <f t="shared" si="20"/>
        <v>0</v>
      </c>
      <c r="O80" s="614">
        <f t="shared" si="13"/>
        <v>0</v>
      </c>
      <c r="P80" s="704"/>
      <c r="Q80" s="76">
        <f t="shared" si="16"/>
        <v>0</v>
      </c>
      <c r="R80" s="76">
        <f t="shared" si="17"/>
        <v>0</v>
      </c>
      <c r="S80" s="76">
        <f t="shared" si="18"/>
        <v>0</v>
      </c>
      <c r="T80" s="76">
        <f t="shared" si="19"/>
        <v>0</v>
      </c>
      <c r="V80" s="227">
        <f>IFERROR('Reagents and consumables'!$O$2*S80,"")</f>
        <v>0</v>
      </c>
    </row>
    <row r="81" spans="1:22">
      <c r="A81" s="218"/>
      <c r="B81" s="607"/>
      <c r="C81" s="607"/>
      <c r="D81" s="607"/>
      <c r="E81" s="607"/>
      <c r="F81" s="607"/>
      <c r="G81" s="105"/>
      <c r="H81" s="143"/>
      <c r="I81" s="95"/>
      <c r="J81" s="94"/>
      <c r="K81" s="142">
        <f t="shared" si="12"/>
        <v>0</v>
      </c>
      <c r="L81" s="95"/>
      <c r="M81" s="95"/>
      <c r="N81" s="142">
        <f t="shared" si="20"/>
        <v>0</v>
      </c>
      <c r="O81" s="614">
        <f t="shared" si="13"/>
        <v>0</v>
      </c>
      <c r="P81" s="704"/>
      <c r="Q81" s="76">
        <f t="shared" si="16"/>
        <v>0</v>
      </c>
      <c r="R81" s="76">
        <f t="shared" si="17"/>
        <v>0</v>
      </c>
      <c r="S81" s="76">
        <f t="shared" si="18"/>
        <v>0</v>
      </c>
      <c r="T81" s="76">
        <f t="shared" si="19"/>
        <v>0</v>
      </c>
      <c r="V81" s="227">
        <f>IFERROR('Reagents and consumables'!$O$2*S81,"")</f>
        <v>0</v>
      </c>
    </row>
    <row r="82" spans="1:22">
      <c r="A82" s="218"/>
      <c r="B82" s="607"/>
      <c r="C82" s="607"/>
      <c r="D82" s="607"/>
      <c r="E82" s="607"/>
      <c r="F82" s="607"/>
      <c r="G82" s="105"/>
      <c r="H82" s="143"/>
      <c r="I82" s="95"/>
      <c r="J82" s="94"/>
      <c r="K82" s="142">
        <f t="shared" si="12"/>
        <v>0</v>
      </c>
      <c r="L82" s="95"/>
      <c r="M82" s="95"/>
      <c r="N82" s="142">
        <f t="shared" si="20"/>
        <v>0</v>
      </c>
      <c r="O82" s="614">
        <f t="shared" si="13"/>
        <v>0</v>
      </c>
      <c r="P82" s="704"/>
      <c r="Q82" s="76">
        <f t="shared" si="16"/>
        <v>0</v>
      </c>
      <c r="R82" s="76">
        <f t="shared" si="17"/>
        <v>0</v>
      </c>
      <c r="S82" s="76">
        <f t="shared" si="18"/>
        <v>0</v>
      </c>
      <c r="T82" s="76">
        <f t="shared" si="19"/>
        <v>0</v>
      </c>
      <c r="V82" s="227">
        <f>IFERROR('Reagents and consumables'!$O$2*S82,"")</f>
        <v>0</v>
      </c>
    </row>
    <row r="83" spans="1:22">
      <c r="A83" s="218"/>
      <c r="B83" s="607"/>
      <c r="C83" s="607"/>
      <c r="D83" s="607"/>
      <c r="E83" s="607"/>
      <c r="F83" s="607"/>
      <c r="G83" s="105"/>
      <c r="H83" s="143"/>
      <c r="I83" s="95"/>
      <c r="J83" s="94"/>
      <c r="K83" s="142">
        <f t="shared" si="12"/>
        <v>0</v>
      </c>
      <c r="L83" s="95"/>
      <c r="M83" s="95"/>
      <c r="N83" s="142">
        <f t="shared" si="20"/>
        <v>0</v>
      </c>
      <c r="O83" s="614">
        <f t="shared" si="13"/>
        <v>0</v>
      </c>
      <c r="P83" s="704"/>
      <c r="Q83" s="76">
        <f t="shared" si="16"/>
        <v>0</v>
      </c>
      <c r="R83" s="76">
        <f t="shared" si="17"/>
        <v>0</v>
      </c>
      <c r="S83" s="76">
        <f t="shared" si="18"/>
        <v>0</v>
      </c>
      <c r="T83" s="76">
        <f t="shared" si="19"/>
        <v>0</v>
      </c>
      <c r="V83" s="227">
        <f>IFERROR('Reagents and consumables'!$O$2*S83,"")</f>
        <v>0</v>
      </c>
    </row>
    <row r="84" spans="1:22">
      <c r="A84" s="218"/>
      <c r="B84" s="607"/>
      <c r="C84" s="607"/>
      <c r="D84" s="607"/>
      <c r="E84" s="607"/>
      <c r="F84" s="607"/>
      <c r="G84" s="105"/>
      <c r="H84" s="143"/>
      <c r="I84" s="95"/>
      <c r="J84" s="94"/>
      <c r="K84" s="142">
        <f t="shared" si="12"/>
        <v>0</v>
      </c>
      <c r="L84" s="95"/>
      <c r="M84" s="95"/>
      <c r="N84" s="142">
        <f t="shared" si="20"/>
        <v>0</v>
      </c>
      <c r="O84" s="614">
        <f t="shared" si="13"/>
        <v>0</v>
      </c>
      <c r="P84" s="704"/>
      <c r="Q84" s="76">
        <f t="shared" si="16"/>
        <v>0</v>
      </c>
      <c r="R84" s="76">
        <f t="shared" si="17"/>
        <v>0</v>
      </c>
      <c r="S84" s="76">
        <f t="shared" si="18"/>
        <v>0</v>
      </c>
      <c r="T84" s="76">
        <f t="shared" si="19"/>
        <v>0</v>
      </c>
      <c r="V84" s="227">
        <f>IFERROR('Reagents and consumables'!$O$2*S84,"")</f>
        <v>0</v>
      </c>
    </row>
    <row r="85" spans="1:22">
      <c r="A85" s="218"/>
      <c r="B85" s="607"/>
      <c r="C85" s="607"/>
      <c r="D85" s="607"/>
      <c r="E85" s="607"/>
      <c r="F85" s="607"/>
      <c r="G85" s="105"/>
      <c r="H85" s="143"/>
      <c r="I85" s="95"/>
      <c r="J85" s="94"/>
      <c r="K85" s="142">
        <f t="shared" si="12"/>
        <v>0</v>
      </c>
      <c r="L85" s="95"/>
      <c r="M85" s="95"/>
      <c r="N85" s="142">
        <f t="shared" si="20"/>
        <v>0</v>
      </c>
      <c r="O85" s="614">
        <f t="shared" si="13"/>
        <v>0</v>
      </c>
      <c r="P85" s="704"/>
      <c r="Q85" s="76">
        <f t="shared" si="16"/>
        <v>0</v>
      </c>
      <c r="R85" s="76">
        <f t="shared" si="17"/>
        <v>0</v>
      </c>
      <c r="S85" s="76">
        <f t="shared" si="18"/>
        <v>0</v>
      </c>
      <c r="T85" s="76">
        <f t="shared" si="19"/>
        <v>0</v>
      </c>
      <c r="V85" s="227">
        <f>IFERROR('Reagents and consumables'!$O$2*S85,"")</f>
        <v>0</v>
      </c>
    </row>
    <row r="86" spans="1:22">
      <c r="A86" s="218"/>
      <c r="B86" s="607"/>
      <c r="C86" s="607"/>
      <c r="D86" s="607"/>
      <c r="E86" s="607"/>
      <c r="F86" s="607"/>
      <c r="G86" s="105"/>
      <c r="H86" s="143"/>
      <c r="I86" s="95"/>
      <c r="J86" s="94"/>
      <c r="K86" s="142">
        <f t="shared" si="12"/>
        <v>0</v>
      </c>
      <c r="L86" s="95"/>
      <c r="M86" s="95"/>
      <c r="N86" s="142">
        <f t="shared" si="20"/>
        <v>0</v>
      </c>
      <c r="O86" s="614">
        <f t="shared" si="13"/>
        <v>0</v>
      </c>
      <c r="P86" s="704"/>
      <c r="Q86" s="76">
        <f t="shared" si="16"/>
        <v>0</v>
      </c>
      <c r="R86" s="76">
        <f t="shared" si="17"/>
        <v>0</v>
      </c>
      <c r="S86" s="76">
        <f t="shared" si="18"/>
        <v>0</v>
      </c>
      <c r="T86" s="76">
        <f t="shared" si="19"/>
        <v>0</v>
      </c>
      <c r="V86" s="227">
        <f>IFERROR('Reagents and consumables'!$O$2*S86,"")</f>
        <v>0</v>
      </c>
    </row>
    <row r="87" spans="1:22">
      <c r="A87" s="218"/>
      <c r="B87" s="607"/>
      <c r="C87" s="607"/>
      <c r="D87" s="607"/>
      <c r="E87" s="607"/>
      <c r="F87" s="607"/>
      <c r="G87" s="105"/>
      <c r="H87" s="143"/>
      <c r="I87" s="95"/>
      <c r="J87" s="94"/>
      <c r="K87" s="142">
        <f t="shared" si="12"/>
        <v>0</v>
      </c>
      <c r="L87" s="95"/>
      <c r="M87" s="95"/>
      <c r="N87" s="142">
        <f t="shared" si="20"/>
        <v>0</v>
      </c>
      <c r="O87" s="614">
        <f t="shared" si="13"/>
        <v>0</v>
      </c>
      <c r="P87" s="704"/>
      <c r="Q87" s="76">
        <f t="shared" si="16"/>
        <v>0</v>
      </c>
      <c r="R87" s="76">
        <f t="shared" si="17"/>
        <v>0</v>
      </c>
      <c r="S87" s="76">
        <f t="shared" si="18"/>
        <v>0</v>
      </c>
      <c r="T87" s="76">
        <f t="shared" si="19"/>
        <v>0</v>
      </c>
      <c r="V87" s="227">
        <f>IFERROR('Reagents and consumables'!$O$2*S87,"")</f>
        <v>0</v>
      </c>
    </row>
    <row r="88" spans="1:22">
      <c r="A88" s="218"/>
      <c r="B88" s="607"/>
      <c r="C88" s="607"/>
      <c r="D88" s="607"/>
      <c r="E88" s="607"/>
      <c r="F88" s="607"/>
      <c r="G88" s="105"/>
      <c r="H88" s="143"/>
      <c r="I88" s="95"/>
      <c r="J88" s="94"/>
      <c r="K88" s="142">
        <f t="shared" si="12"/>
        <v>0</v>
      </c>
      <c r="L88" s="95"/>
      <c r="M88" s="95"/>
      <c r="N88" s="142">
        <f t="shared" si="20"/>
        <v>0</v>
      </c>
      <c r="O88" s="614">
        <f t="shared" si="13"/>
        <v>0</v>
      </c>
      <c r="P88" s="704"/>
      <c r="Q88" s="76">
        <f t="shared" si="16"/>
        <v>0</v>
      </c>
      <c r="R88" s="76">
        <f t="shared" si="17"/>
        <v>0</v>
      </c>
      <c r="S88" s="76">
        <f t="shared" si="18"/>
        <v>0</v>
      </c>
      <c r="T88" s="76">
        <f t="shared" si="19"/>
        <v>0</v>
      </c>
      <c r="V88" s="227">
        <f>IFERROR('Reagents and consumables'!$O$2*S88,"")</f>
        <v>0</v>
      </c>
    </row>
    <row r="89" spans="1:22">
      <c r="A89" s="218"/>
      <c r="B89" s="607"/>
      <c r="C89" s="607"/>
      <c r="D89" s="607"/>
      <c r="E89" s="607"/>
      <c r="F89" s="607"/>
      <c r="G89" s="105"/>
      <c r="H89" s="143"/>
      <c r="I89" s="95"/>
      <c r="J89" s="94"/>
      <c r="K89" s="142">
        <f t="shared" si="12"/>
        <v>0</v>
      </c>
      <c r="L89" s="95"/>
      <c r="M89" s="95"/>
      <c r="N89" s="142">
        <f t="shared" si="20"/>
        <v>0</v>
      </c>
      <c r="O89" s="614">
        <f t="shared" si="13"/>
        <v>0</v>
      </c>
      <c r="P89" s="704"/>
      <c r="Q89" s="76">
        <f t="shared" si="16"/>
        <v>0</v>
      </c>
      <c r="R89" s="76">
        <f t="shared" si="17"/>
        <v>0</v>
      </c>
      <c r="S89" s="76">
        <f t="shared" si="18"/>
        <v>0</v>
      </c>
      <c r="T89" s="76">
        <f t="shared" si="19"/>
        <v>0</v>
      </c>
      <c r="V89" s="227">
        <f>IFERROR('Reagents and consumables'!$O$2*S89,"")</f>
        <v>0</v>
      </c>
    </row>
    <row r="90" spans="1:22">
      <c r="A90" s="218"/>
      <c r="B90" s="607"/>
      <c r="C90" s="607"/>
      <c r="D90" s="607"/>
      <c r="E90" s="607"/>
      <c r="F90" s="607"/>
      <c r="G90" s="105"/>
      <c r="H90" s="143"/>
      <c r="I90" s="95"/>
      <c r="J90" s="94"/>
      <c r="K90" s="142">
        <f t="shared" si="12"/>
        <v>0</v>
      </c>
      <c r="L90" s="95"/>
      <c r="M90" s="95"/>
      <c r="N90" s="142">
        <f t="shared" si="20"/>
        <v>0</v>
      </c>
      <c r="O90" s="614">
        <f t="shared" si="13"/>
        <v>0</v>
      </c>
      <c r="P90" s="704"/>
      <c r="Q90" s="76">
        <f t="shared" si="16"/>
        <v>0</v>
      </c>
      <c r="R90" s="76">
        <f t="shared" si="17"/>
        <v>0</v>
      </c>
      <c r="S90" s="76">
        <f t="shared" si="18"/>
        <v>0</v>
      </c>
      <c r="T90" s="76">
        <f t="shared" si="19"/>
        <v>0</v>
      </c>
      <c r="V90" s="227">
        <f>IFERROR('Reagents and consumables'!$O$2*S90,"")</f>
        <v>0</v>
      </c>
    </row>
    <row r="91" spans="1:22">
      <c r="A91" s="218"/>
      <c r="B91" s="607"/>
      <c r="C91" s="607"/>
      <c r="D91" s="607"/>
      <c r="E91" s="607"/>
      <c r="F91" s="607"/>
      <c r="G91" s="105"/>
      <c r="H91" s="143"/>
      <c r="I91" s="95"/>
      <c r="J91" s="94"/>
      <c r="K91" s="142">
        <f t="shared" si="12"/>
        <v>0</v>
      </c>
      <c r="L91" s="95"/>
      <c r="M91" s="95"/>
      <c r="N91" s="142">
        <f t="shared" si="20"/>
        <v>0</v>
      </c>
      <c r="O91" s="614">
        <f t="shared" si="13"/>
        <v>0</v>
      </c>
      <c r="P91" s="704"/>
      <c r="Q91" s="76">
        <f t="shared" si="16"/>
        <v>0</v>
      </c>
      <c r="R91" s="76">
        <f t="shared" si="17"/>
        <v>0</v>
      </c>
      <c r="S91" s="76">
        <f t="shared" si="18"/>
        <v>0</v>
      </c>
      <c r="T91" s="76">
        <f t="shared" si="19"/>
        <v>0</v>
      </c>
      <c r="V91" s="227">
        <f>IFERROR('Reagents and consumables'!$O$2*S91,"")</f>
        <v>0</v>
      </c>
    </row>
    <row r="92" spans="1:22">
      <c r="A92" s="218"/>
      <c r="B92" s="607"/>
      <c r="C92" s="607"/>
      <c r="D92" s="607"/>
      <c r="E92" s="607"/>
      <c r="F92" s="607"/>
      <c r="G92" s="105"/>
      <c r="H92" s="143"/>
      <c r="I92" s="95"/>
      <c r="J92" s="94"/>
      <c r="K92" s="142">
        <f t="shared" si="12"/>
        <v>0</v>
      </c>
      <c r="L92" s="95"/>
      <c r="M92" s="95"/>
      <c r="N92" s="142">
        <f t="shared" si="20"/>
        <v>0</v>
      </c>
      <c r="O92" s="614">
        <f t="shared" si="13"/>
        <v>0</v>
      </c>
      <c r="P92" s="704"/>
      <c r="Q92" s="76">
        <f t="shared" si="16"/>
        <v>0</v>
      </c>
      <c r="R92" s="76">
        <f t="shared" si="17"/>
        <v>0</v>
      </c>
      <c r="S92" s="76">
        <f t="shared" si="18"/>
        <v>0</v>
      </c>
      <c r="T92" s="76">
        <f t="shared" si="19"/>
        <v>0</v>
      </c>
      <c r="V92" s="227">
        <f>IFERROR('Reagents and consumables'!$O$2*S92,"")</f>
        <v>0</v>
      </c>
    </row>
    <row r="93" spans="1:22">
      <c r="A93" s="218"/>
      <c r="B93" s="607"/>
      <c r="C93" s="607"/>
      <c r="D93" s="607"/>
      <c r="E93" s="607"/>
      <c r="F93" s="607"/>
      <c r="G93" s="105"/>
      <c r="H93" s="143"/>
      <c r="I93" s="95"/>
      <c r="J93" s="94"/>
      <c r="K93" s="142">
        <f t="shared" si="12"/>
        <v>0</v>
      </c>
      <c r="L93" s="95"/>
      <c r="M93" s="95"/>
      <c r="N93" s="142">
        <f t="shared" si="20"/>
        <v>0</v>
      </c>
      <c r="O93" s="614">
        <f t="shared" si="13"/>
        <v>0</v>
      </c>
      <c r="P93" s="704"/>
      <c r="Q93" s="76">
        <f t="shared" si="16"/>
        <v>0</v>
      </c>
      <c r="R93" s="76">
        <f t="shared" si="17"/>
        <v>0</v>
      </c>
      <c r="S93" s="76">
        <f t="shared" si="18"/>
        <v>0</v>
      </c>
      <c r="T93" s="76">
        <f t="shared" si="19"/>
        <v>0</v>
      </c>
      <c r="V93" s="227">
        <f>IFERROR('Reagents and consumables'!$O$2*S93,"")</f>
        <v>0</v>
      </c>
    </row>
    <row r="94" spans="1:22">
      <c r="A94" s="218"/>
      <c r="B94" s="607"/>
      <c r="C94" s="607"/>
      <c r="D94" s="607"/>
      <c r="E94" s="607"/>
      <c r="F94" s="607"/>
      <c r="G94" s="105"/>
      <c r="H94" s="143"/>
      <c r="I94" s="95"/>
      <c r="J94" s="94"/>
      <c r="K94" s="142">
        <f t="shared" si="12"/>
        <v>0</v>
      </c>
      <c r="L94" s="95"/>
      <c r="M94" s="95"/>
      <c r="N94" s="142">
        <f t="shared" si="20"/>
        <v>0</v>
      </c>
      <c r="O94" s="614">
        <f t="shared" si="13"/>
        <v>0</v>
      </c>
      <c r="P94" s="704"/>
      <c r="Q94" s="76">
        <f t="shared" si="16"/>
        <v>0</v>
      </c>
      <c r="R94" s="76">
        <f t="shared" si="17"/>
        <v>0</v>
      </c>
      <c r="S94" s="76">
        <f t="shared" si="18"/>
        <v>0</v>
      </c>
      <c r="T94" s="76">
        <f t="shared" si="19"/>
        <v>0</v>
      </c>
      <c r="V94" s="227">
        <f>IFERROR('Reagents and consumables'!$O$2*S94,"")</f>
        <v>0</v>
      </c>
    </row>
    <row r="95" spans="1:22">
      <c r="A95" s="218"/>
      <c r="B95" s="607"/>
      <c r="C95" s="607"/>
      <c r="D95" s="607"/>
      <c r="E95" s="607"/>
      <c r="F95" s="607"/>
      <c r="G95" s="105"/>
      <c r="H95" s="143"/>
      <c r="I95" s="95"/>
      <c r="J95" s="94"/>
      <c r="K95" s="142">
        <f t="shared" si="12"/>
        <v>0</v>
      </c>
      <c r="L95" s="95"/>
      <c r="M95" s="95"/>
      <c r="N95" s="142">
        <f t="shared" si="20"/>
        <v>0</v>
      </c>
      <c r="O95" s="614">
        <f t="shared" si="13"/>
        <v>0</v>
      </c>
      <c r="P95" s="704"/>
      <c r="Q95" s="76">
        <f t="shared" si="16"/>
        <v>0</v>
      </c>
      <c r="R95" s="76">
        <f t="shared" si="17"/>
        <v>0</v>
      </c>
      <c r="S95" s="76">
        <f t="shared" si="18"/>
        <v>0</v>
      </c>
      <c r="T95" s="76">
        <f t="shared" si="19"/>
        <v>0</v>
      </c>
      <c r="V95" s="227">
        <f>IFERROR('Reagents and consumables'!$O$2*S95,"")</f>
        <v>0</v>
      </c>
    </row>
    <row r="96" spans="1:22">
      <c r="A96" s="218"/>
      <c r="B96" s="607"/>
      <c r="C96" s="607"/>
      <c r="D96" s="607"/>
      <c r="E96" s="607"/>
      <c r="F96" s="607"/>
      <c r="G96" s="105"/>
      <c r="H96" s="143"/>
      <c r="I96" s="95"/>
      <c r="J96" s="94"/>
      <c r="K96" s="142">
        <f t="shared" si="12"/>
        <v>0</v>
      </c>
      <c r="L96" s="95"/>
      <c r="M96" s="95"/>
      <c r="N96" s="142">
        <f t="shared" si="20"/>
        <v>0</v>
      </c>
      <c r="O96" s="614">
        <f t="shared" si="13"/>
        <v>0</v>
      </c>
      <c r="P96" s="704"/>
      <c r="Q96" s="76">
        <f t="shared" si="16"/>
        <v>0</v>
      </c>
      <c r="R96" s="76">
        <f t="shared" si="17"/>
        <v>0</v>
      </c>
      <c r="S96" s="76">
        <f t="shared" si="18"/>
        <v>0</v>
      </c>
      <c r="T96" s="76">
        <f t="shared" si="19"/>
        <v>0</v>
      </c>
      <c r="V96" s="227">
        <f>IFERROR('Reagents and consumables'!$O$2*S96,"")</f>
        <v>0</v>
      </c>
    </row>
    <row r="97" spans="1:22">
      <c r="A97" s="218"/>
      <c r="B97" s="607"/>
      <c r="C97" s="607"/>
      <c r="D97" s="607"/>
      <c r="E97" s="607"/>
      <c r="F97" s="607"/>
      <c r="G97" s="105"/>
      <c r="H97" s="143"/>
      <c r="I97" s="95"/>
      <c r="J97" s="94"/>
      <c r="K97" s="142">
        <f t="shared" si="12"/>
        <v>0</v>
      </c>
      <c r="L97" s="95"/>
      <c r="M97" s="95"/>
      <c r="N97" s="142">
        <f t="shared" si="20"/>
        <v>0</v>
      </c>
      <c r="O97" s="614">
        <f t="shared" si="13"/>
        <v>0</v>
      </c>
      <c r="P97" s="704"/>
      <c r="Q97" s="76">
        <f t="shared" si="16"/>
        <v>0</v>
      </c>
      <c r="R97" s="76">
        <f t="shared" si="17"/>
        <v>0</v>
      </c>
      <c r="S97" s="76">
        <f t="shared" si="18"/>
        <v>0</v>
      </c>
      <c r="T97" s="76">
        <f t="shared" si="19"/>
        <v>0</v>
      </c>
      <c r="V97" s="227">
        <f>IFERROR('Reagents and consumables'!$O$2*S97,"")</f>
        <v>0</v>
      </c>
    </row>
    <row r="98" spans="1:22">
      <c r="A98" s="218"/>
      <c r="B98" s="607"/>
      <c r="C98" s="607"/>
      <c r="D98" s="607"/>
      <c r="E98" s="607"/>
      <c r="F98" s="607"/>
      <c r="G98" s="105"/>
      <c r="H98" s="143"/>
      <c r="I98" s="95"/>
      <c r="J98" s="94"/>
      <c r="K98" s="142">
        <f t="shared" si="12"/>
        <v>0</v>
      </c>
      <c r="L98" s="95"/>
      <c r="M98" s="95"/>
      <c r="N98" s="142">
        <f t="shared" si="20"/>
        <v>0</v>
      </c>
      <c r="O98" s="614">
        <f t="shared" si="13"/>
        <v>0</v>
      </c>
      <c r="P98" s="704"/>
      <c r="Q98" s="76">
        <f t="shared" si="16"/>
        <v>0</v>
      </c>
      <c r="R98" s="76">
        <f t="shared" si="17"/>
        <v>0</v>
      </c>
      <c r="S98" s="76">
        <f t="shared" si="18"/>
        <v>0</v>
      </c>
      <c r="T98" s="76">
        <f t="shared" si="19"/>
        <v>0</v>
      </c>
      <c r="V98" s="227">
        <f>IFERROR('Reagents and consumables'!$O$2*S98,"")</f>
        <v>0</v>
      </c>
    </row>
    <row r="99" spans="1:22">
      <c r="A99" s="221"/>
      <c r="B99" s="607"/>
      <c r="C99" s="607"/>
      <c r="D99" s="607"/>
      <c r="E99" s="607"/>
      <c r="F99" s="607"/>
      <c r="G99" s="165"/>
      <c r="H99" s="222"/>
      <c r="I99" s="98"/>
      <c r="J99" s="538"/>
      <c r="K99" s="88">
        <f t="shared" si="12"/>
        <v>0</v>
      </c>
      <c r="L99" s="98"/>
      <c r="M99" s="98"/>
      <c r="N99" s="142">
        <f t="shared" si="20"/>
        <v>0</v>
      </c>
      <c r="O99" s="626">
        <f t="shared" si="13"/>
        <v>0</v>
      </c>
      <c r="P99" s="705"/>
      <c r="Q99" s="76">
        <f t="shared" si="16"/>
        <v>0</v>
      </c>
      <c r="R99" s="76">
        <f t="shared" si="17"/>
        <v>0</v>
      </c>
      <c r="S99" s="76">
        <f t="shared" si="18"/>
        <v>0</v>
      </c>
      <c r="T99" s="76">
        <f t="shared" si="19"/>
        <v>0</v>
      </c>
      <c r="V99" s="227">
        <f>IFERROR('Reagents and consumables'!$O$2*S99,"")</f>
        <v>0</v>
      </c>
    </row>
    <row r="100" spans="1:22">
      <c r="A100" s="743"/>
      <c r="B100" s="743"/>
      <c r="C100" s="743"/>
      <c r="D100" s="743"/>
      <c r="E100" s="743"/>
      <c r="F100" s="743"/>
      <c r="G100" s="743"/>
      <c r="H100" s="743"/>
      <c r="I100" s="743"/>
      <c r="J100" s="743"/>
      <c r="K100" s="743"/>
      <c r="L100" s="743"/>
      <c r="M100" s="743"/>
      <c r="N100" s="743"/>
      <c r="O100" s="743"/>
      <c r="P100" s="743"/>
      <c r="Q100" s="743"/>
      <c r="R100" s="743"/>
      <c r="S100" s="743"/>
      <c r="T100" s="118"/>
      <c r="V100" s="78"/>
    </row>
    <row r="101" spans="1:22" ht="14.7" thickBot="1"/>
    <row r="102" spans="1:22">
      <c r="L102" s="8"/>
      <c r="O102" s="23"/>
      <c r="P102" s="758" t="str">
        <f>Language!B436</f>
        <v>Calculated costs – Equipment</v>
      </c>
      <c r="Q102" s="759"/>
    </row>
    <row r="103" spans="1:22" ht="50.25" customHeight="1">
      <c r="L103" s="8"/>
      <c r="O103" s="23"/>
      <c r="P103" s="681" t="str">
        <f>Language!$B$97</f>
        <v>Total recommended equipment cost</v>
      </c>
      <c r="Q103" s="682">
        <f>SUM($J$5*$H$5,$J$6*$H$6)+SUMPRODUCT($J$7:$J$43,$H$7:$H$43)</f>
        <v>327703.81199999998</v>
      </c>
    </row>
    <row r="104" spans="1:22" ht="43.2">
      <c r="L104" s="8"/>
      <c r="O104" s="23"/>
      <c r="P104" s="89" t="str">
        <f>Language!B92</f>
        <v>Potential items for purchase to reach recommended equipment quantities</v>
      </c>
      <c r="Q104" s="275">
        <f>SUM($AA$5:$AA$43)</f>
        <v>10790.172</v>
      </c>
    </row>
    <row r="105" spans="1:22" ht="30" customHeight="1">
      <c r="L105" s="8"/>
      <c r="O105" s="23"/>
      <c r="P105" s="89" t="str">
        <f>Language!$B$99</f>
        <v>Total annual equipment depreciation cost</v>
      </c>
      <c r="Q105" s="275">
        <f>SUM($Q$5,$Q$6,$Q$7:$Q$99)</f>
        <v>35649.485499999988</v>
      </c>
    </row>
    <row r="106" spans="1:22" ht="43.2">
      <c r="P106" s="89" t="str">
        <f>Language!$B$344</f>
        <v>Total annual equipment maintenance and calibration cost</v>
      </c>
      <c r="Q106" s="275">
        <f>SUM($R$5,$R$6,$R$7:$R$99)</f>
        <v>47249.22825</v>
      </c>
    </row>
    <row r="107" spans="1:22" ht="28.8">
      <c r="P107" s="330" t="str">
        <f>Language!$B$346</f>
        <v>Total annual equipment operational cost</v>
      </c>
      <c r="Q107" s="331">
        <f>SUM($S$5,$S$6,$S$7:$S$99)</f>
        <v>82898.713749999981</v>
      </c>
    </row>
    <row r="108" spans="1:22" ht="29.1" thickBot="1">
      <c r="P108" s="121" t="str">
        <f>Language!$B$100</f>
        <v>Total equipment cost per sample</v>
      </c>
      <c r="Q108" s="276">
        <f>$Q$107/'Data entry'!F32</f>
        <v>103.62339218749997</v>
      </c>
    </row>
  </sheetData>
  <sheetProtection algorithmName="SHA-512" hashValue="8B+92epsvyWzQoWyV6EsyBZuZHttU7GQZaJ+BL/97lB9vOAw+Ox3IBevI4TNpcsrVHpIWzeU37V68vzqdpaaeg==" saltValue="AJINxO3EKzaRO5KM5mc/ug==" spinCount="100000" sheet="1" objects="1" scenarios="1" formatColumns="0" formatRows="0"/>
  <mergeCells count="5">
    <mergeCell ref="AA2:AC2"/>
    <mergeCell ref="A100:S100"/>
    <mergeCell ref="AA44:AC44"/>
    <mergeCell ref="A2:T2"/>
    <mergeCell ref="P102:Q102"/>
  </mergeCells>
  <conditionalFormatting sqref="G5:G43 J5:J43 O5:O99">
    <cfRule type="expression" dxfId="0" priority="1">
      <formula>NOT(_xlfn.ISFORMULA(G5))</formula>
    </cfRule>
  </conditionalFormatting>
  <dataValidations count="1">
    <dataValidation type="list" allowBlank="1" showInputMessage="1" showErrorMessage="1" sqref="B5:F99" xr:uid="{6F05745E-2D07-46D4-8628-868F8CAB65CB}">
      <formula1>"Yes, 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36A7-0EC9-4CF3-A6DA-C787DA8D3AD0}">
  <dimension ref="B2:J53"/>
  <sheetViews>
    <sheetView zoomScale="120" zoomScaleNormal="120" workbookViewId="0">
      <pane ySplit="4" topLeftCell="A34" activePane="bottomLeft" state="frozen"/>
      <selection pane="bottomLeft" activeCell="D11" sqref="D11"/>
    </sheetView>
  </sheetViews>
  <sheetFormatPr defaultColWidth="8.41796875" defaultRowHeight="14.4"/>
  <cols>
    <col min="2" max="2" width="20.41796875" bestFit="1" customWidth="1"/>
    <col min="3" max="3" width="18.41796875" bestFit="1" customWidth="1"/>
    <col min="4" max="4" width="39.15625" customWidth="1"/>
    <col min="5" max="5" width="26.41796875" customWidth="1"/>
    <col min="6" max="6" width="26.68359375" customWidth="1"/>
    <col min="7" max="8" width="8.41796875" customWidth="1"/>
    <col min="9" max="9" width="25.15625" style="75" customWidth="1"/>
    <col min="10" max="10" width="8.41796875" customWidth="1"/>
  </cols>
  <sheetData>
    <row r="2" spans="2:10">
      <c r="B2" s="752" t="str">
        <f>Language!B101</f>
        <v>Personnel and training</v>
      </c>
      <c r="C2" s="752"/>
      <c r="D2" s="752"/>
      <c r="E2" s="752"/>
      <c r="F2" s="752"/>
    </row>
    <row r="3" spans="2:10" ht="28.8">
      <c r="B3" s="101" t="str">
        <f>Language!B102</f>
        <v>NGS workforce</v>
      </c>
      <c r="C3" s="101" t="str">
        <f>Language!B103</f>
        <v>Annual salary and benefit costs</v>
      </c>
      <c r="D3" s="101" t="str">
        <f>Language!B104</f>
        <v>Percentage of time spent on sequencing of selected pathogens</v>
      </c>
      <c r="E3" s="101" t="str">
        <f>Language!B105</f>
        <v>Annual personnel cost</v>
      </c>
      <c r="F3" s="101" t="str">
        <f>Language!B106</f>
        <v>Personnel cost per sample</v>
      </c>
      <c r="I3" s="131" t="str">
        <f>Language!B69</f>
        <v>Local currency (reference only)</v>
      </c>
    </row>
    <row r="4" spans="2:10" s="7" customFormat="1" ht="33.75" hidden="1" customHeight="1">
      <c r="B4" s="81" t="s">
        <v>25</v>
      </c>
      <c r="C4" s="41" t="s">
        <v>26</v>
      </c>
      <c r="D4" s="41" t="s">
        <v>27</v>
      </c>
      <c r="E4" s="41" t="s">
        <v>28</v>
      </c>
      <c r="F4" s="82" t="s">
        <v>29</v>
      </c>
      <c r="H4"/>
      <c r="I4" s="77" t="s">
        <v>2</v>
      </c>
      <c r="J4"/>
    </row>
    <row r="5" spans="2:10">
      <c r="B5" s="651" t="str">
        <f>Language!B321</f>
        <v>Clinical microbiologist</v>
      </c>
      <c r="C5" s="91">
        <v>15000</v>
      </c>
      <c r="D5" s="706">
        <v>0.1</v>
      </c>
      <c r="E5" s="53">
        <f t="shared" ref="E5:E36" si="0">C5*D5</f>
        <v>1500</v>
      </c>
      <c r="F5" s="83">
        <f>IFERROR(E5/'Data entry'!$F$32,0)</f>
        <v>1.875</v>
      </c>
      <c r="I5" s="84">
        <f>IFERROR('Reagents and consumables'!$O$2*E5,"")</f>
        <v>0</v>
      </c>
    </row>
    <row r="6" spans="2:10">
      <c r="B6" s="651" t="str">
        <f>Language!B322</f>
        <v>Laboratory manager</v>
      </c>
      <c r="C6" s="91">
        <v>20000</v>
      </c>
      <c r="D6" s="706">
        <v>0.02</v>
      </c>
      <c r="E6" s="53">
        <f t="shared" si="0"/>
        <v>400</v>
      </c>
      <c r="F6" s="83">
        <f>IFERROR(E6/'Data entry'!$F$32,0)</f>
        <v>0.5</v>
      </c>
      <c r="I6" s="84">
        <f>IFERROR('Reagents and consumables'!$O$2*E6,"")</f>
        <v>0</v>
      </c>
    </row>
    <row r="7" spans="2:10">
      <c r="B7" s="651" t="str">
        <f>Language!B323</f>
        <v>Bioinformatician</v>
      </c>
      <c r="C7" s="91">
        <v>12000</v>
      </c>
      <c r="D7" s="706">
        <v>0.3</v>
      </c>
      <c r="E7" s="53">
        <f t="shared" si="0"/>
        <v>3600</v>
      </c>
      <c r="F7" s="83">
        <f>IFERROR(E7/'Data entry'!$F$32,0)</f>
        <v>4.5</v>
      </c>
      <c r="I7" s="84">
        <f>IFERROR('Reagents and consumables'!$O$2*E7,"")</f>
        <v>0</v>
      </c>
    </row>
    <row r="8" spans="2:10">
      <c r="B8" s="651" t="str">
        <f>Language!B324</f>
        <v>Molecular biologist</v>
      </c>
      <c r="C8" s="91">
        <v>15000</v>
      </c>
      <c r="D8" s="706">
        <v>0.3</v>
      </c>
      <c r="E8" s="53">
        <f t="shared" si="0"/>
        <v>4500</v>
      </c>
      <c r="F8" s="83">
        <f>IFERROR(E8/'Data entry'!$F$32,0)</f>
        <v>5.625</v>
      </c>
      <c r="I8" s="84">
        <f>IFERROR('Reagents and consumables'!$O$2*E8,"")</f>
        <v>0</v>
      </c>
    </row>
    <row r="9" spans="2:10">
      <c r="B9" s="651" t="str">
        <f>Language!B325</f>
        <v>Laboratory technician</v>
      </c>
      <c r="C9" s="91">
        <v>8000</v>
      </c>
      <c r="D9" s="706">
        <v>0.25</v>
      </c>
      <c r="E9" s="53">
        <f t="shared" si="0"/>
        <v>2000</v>
      </c>
      <c r="F9" s="83">
        <f>IFERROR(E9/'Data entry'!$F$32,0)</f>
        <v>2.5</v>
      </c>
      <c r="I9" s="84">
        <f>IFERROR('Reagents and consumables'!$O$2*E9,"")</f>
        <v>0</v>
      </c>
    </row>
    <row r="10" spans="2:10">
      <c r="B10" s="651" t="str">
        <f>Language!B326</f>
        <v>Laboratory technician</v>
      </c>
      <c r="C10" s="91">
        <v>8000</v>
      </c>
      <c r="D10" s="706">
        <v>0.75</v>
      </c>
      <c r="E10" s="53">
        <f t="shared" si="0"/>
        <v>6000</v>
      </c>
      <c r="F10" s="83">
        <f>IFERROR(E10/'Data entry'!$F$32,0)</f>
        <v>7.5</v>
      </c>
      <c r="I10" s="84">
        <f>IFERROR('Reagents and consumables'!$O$2*E10,"")</f>
        <v>0</v>
      </c>
    </row>
    <row r="11" spans="2:10">
      <c r="B11" s="106"/>
      <c r="C11" s="91"/>
      <c r="D11" s="706"/>
      <c r="E11" s="53">
        <f t="shared" si="0"/>
        <v>0</v>
      </c>
      <c r="F11" s="83">
        <f>IFERROR(E11/'Data entry'!$F$32,0)</f>
        <v>0</v>
      </c>
      <c r="I11" s="84">
        <f>IFERROR('Reagents and consumables'!$O$2*E11,"")</f>
        <v>0</v>
      </c>
    </row>
    <row r="12" spans="2:10">
      <c r="B12" s="106"/>
      <c r="C12" s="91"/>
      <c r="D12" s="706"/>
      <c r="E12" s="53">
        <f t="shared" si="0"/>
        <v>0</v>
      </c>
      <c r="F12" s="83">
        <f>IFERROR(E12/'Data entry'!$F$32,0)</f>
        <v>0</v>
      </c>
      <c r="I12" s="84">
        <f>IFERROR('Reagents and consumables'!$O$2*E12,"")</f>
        <v>0</v>
      </c>
    </row>
    <row r="13" spans="2:10">
      <c r="B13" s="106"/>
      <c r="C13" s="91"/>
      <c r="D13" s="706"/>
      <c r="E13" s="53">
        <f t="shared" si="0"/>
        <v>0</v>
      </c>
      <c r="F13" s="83">
        <f>IFERROR(E13/'Data entry'!$F$32,0)</f>
        <v>0</v>
      </c>
      <c r="I13" s="84">
        <f>IFERROR('Reagents and consumables'!$O$2*E13,"")</f>
        <v>0</v>
      </c>
    </row>
    <row r="14" spans="2:10">
      <c r="B14" s="106"/>
      <c r="C14" s="91"/>
      <c r="D14" s="706"/>
      <c r="E14" s="53">
        <f t="shared" si="0"/>
        <v>0</v>
      </c>
      <c r="F14" s="83">
        <f>IFERROR(E14/'Data entry'!$F$32,0)</f>
        <v>0</v>
      </c>
      <c r="I14" s="84">
        <f>IFERROR('Reagents and consumables'!$O$2*E14,"")</f>
        <v>0</v>
      </c>
    </row>
    <row r="15" spans="2:10">
      <c r="B15" s="106"/>
      <c r="C15" s="91"/>
      <c r="D15" s="706"/>
      <c r="E15" s="53">
        <f t="shared" si="0"/>
        <v>0</v>
      </c>
      <c r="F15" s="83">
        <f>IFERROR(E15/'Data entry'!$F$32,0)</f>
        <v>0</v>
      </c>
      <c r="I15" s="84">
        <f>IFERROR('Reagents and consumables'!$O$2*E15,"")</f>
        <v>0</v>
      </c>
    </row>
    <row r="16" spans="2:10" ht="15" customHeight="1">
      <c r="B16" s="106"/>
      <c r="C16" s="91"/>
      <c r="D16" s="706"/>
      <c r="E16" s="53">
        <f t="shared" si="0"/>
        <v>0</v>
      </c>
      <c r="F16" s="83">
        <f>IFERROR(E16/'Data entry'!$F$32,0)</f>
        <v>0</v>
      </c>
      <c r="I16" s="84">
        <f>IFERROR('Reagents and consumables'!$O$2*E16,"")</f>
        <v>0</v>
      </c>
    </row>
    <row r="17" spans="2:9">
      <c r="B17" s="106"/>
      <c r="C17" s="91"/>
      <c r="D17" s="706"/>
      <c r="E17" s="53">
        <f t="shared" si="0"/>
        <v>0</v>
      </c>
      <c r="F17" s="83">
        <f>IFERROR(E17/'Data entry'!$F$32,0)</f>
        <v>0</v>
      </c>
      <c r="I17" s="84">
        <f>IFERROR('Reagents and consumables'!$O$2*E17,"")</f>
        <v>0</v>
      </c>
    </row>
    <row r="18" spans="2:9">
      <c r="B18" s="106"/>
      <c r="C18" s="91"/>
      <c r="D18" s="706"/>
      <c r="E18" s="53">
        <f t="shared" si="0"/>
        <v>0</v>
      </c>
      <c r="F18" s="83">
        <f>IFERROR(E18/'Data entry'!$F$32,0)</f>
        <v>0</v>
      </c>
      <c r="I18" s="84">
        <f>IFERROR('Reagents and consumables'!$O$2*E18,"")</f>
        <v>0</v>
      </c>
    </row>
    <row r="19" spans="2:9">
      <c r="B19" s="106"/>
      <c r="C19" s="91"/>
      <c r="D19" s="706"/>
      <c r="E19" s="53">
        <f t="shared" si="0"/>
        <v>0</v>
      </c>
      <c r="F19" s="83">
        <f>IFERROR(E19/'Data entry'!$F$32,0)</f>
        <v>0</v>
      </c>
      <c r="I19" s="84">
        <f>IFERROR('Reagents and consumables'!$O$2*E19,"")</f>
        <v>0</v>
      </c>
    </row>
    <row r="20" spans="2:9">
      <c r="B20" s="106"/>
      <c r="C20" s="91"/>
      <c r="D20" s="706"/>
      <c r="E20" s="53">
        <f t="shared" si="0"/>
        <v>0</v>
      </c>
      <c r="F20" s="83">
        <f>IFERROR(E20/'Data entry'!$F$32,0)</f>
        <v>0</v>
      </c>
      <c r="I20" s="84">
        <f>IFERROR('Reagents and consumables'!$O$2*E20,"")</f>
        <v>0</v>
      </c>
    </row>
    <row r="21" spans="2:9">
      <c r="B21" s="106"/>
      <c r="C21" s="91"/>
      <c r="D21" s="706"/>
      <c r="E21" s="53">
        <f t="shared" si="0"/>
        <v>0</v>
      </c>
      <c r="F21" s="83">
        <f>IFERROR(E21/'Data entry'!$F$32,0)</f>
        <v>0</v>
      </c>
      <c r="I21" s="84">
        <f>IFERROR('Reagents and consumables'!$O$2*E21,"")</f>
        <v>0</v>
      </c>
    </row>
    <row r="22" spans="2:9">
      <c r="B22" s="106"/>
      <c r="C22" s="91"/>
      <c r="D22" s="706"/>
      <c r="E22" s="53">
        <f t="shared" si="0"/>
        <v>0</v>
      </c>
      <c r="F22" s="83">
        <f>IFERROR(E22/'Data entry'!$F$32,0)</f>
        <v>0</v>
      </c>
      <c r="I22" s="84">
        <f>IFERROR('Reagents and consumables'!$O$2*E22,"")</f>
        <v>0</v>
      </c>
    </row>
    <row r="23" spans="2:9">
      <c r="B23" s="106"/>
      <c r="C23" s="91"/>
      <c r="D23" s="706"/>
      <c r="E23" s="53">
        <f t="shared" si="0"/>
        <v>0</v>
      </c>
      <c r="F23" s="83">
        <f>IFERROR(E23/'Data entry'!$F$32,0)</f>
        <v>0</v>
      </c>
      <c r="I23" s="84">
        <f>IFERROR('Reagents and consumables'!$O$2*E23,"")</f>
        <v>0</v>
      </c>
    </row>
    <row r="24" spans="2:9">
      <c r="B24" s="106"/>
      <c r="C24" s="91"/>
      <c r="D24" s="706"/>
      <c r="E24" s="53">
        <f t="shared" si="0"/>
        <v>0</v>
      </c>
      <c r="F24" s="83">
        <f>IFERROR(E24/'Data entry'!$F$32,0)</f>
        <v>0</v>
      </c>
      <c r="I24" s="84">
        <f>IFERROR('Reagents and consumables'!$O$2*E24,"")</f>
        <v>0</v>
      </c>
    </row>
    <row r="25" spans="2:9">
      <c r="B25" s="106"/>
      <c r="C25" s="91"/>
      <c r="D25" s="706"/>
      <c r="E25" s="53">
        <f t="shared" si="0"/>
        <v>0</v>
      </c>
      <c r="F25" s="83">
        <f>IFERROR(E25/'Data entry'!$F$32,0)</f>
        <v>0</v>
      </c>
      <c r="I25" s="84">
        <f>IFERROR('Reagents and consumables'!$O$2*E25,"")</f>
        <v>0</v>
      </c>
    </row>
    <row r="26" spans="2:9">
      <c r="B26" s="106"/>
      <c r="C26" s="91"/>
      <c r="D26" s="706"/>
      <c r="E26" s="53">
        <f t="shared" si="0"/>
        <v>0</v>
      </c>
      <c r="F26" s="83">
        <f>IFERROR(E26/'Data entry'!$F$32,0)</f>
        <v>0</v>
      </c>
      <c r="I26" s="84">
        <f>IFERROR('Reagents and consumables'!$O$2*E26,"")</f>
        <v>0</v>
      </c>
    </row>
    <row r="27" spans="2:9">
      <c r="B27" s="106"/>
      <c r="C27" s="91"/>
      <c r="D27" s="706"/>
      <c r="E27" s="53">
        <f t="shared" si="0"/>
        <v>0</v>
      </c>
      <c r="F27" s="83">
        <f>IFERROR(E27/'Data entry'!$F$32,0)</f>
        <v>0</v>
      </c>
      <c r="I27" s="84">
        <f>IFERROR('Reagents and consumables'!$O$2*E27,"")</f>
        <v>0</v>
      </c>
    </row>
    <row r="28" spans="2:9">
      <c r="B28" s="106"/>
      <c r="C28" s="91"/>
      <c r="D28" s="706"/>
      <c r="E28" s="53">
        <f t="shared" si="0"/>
        <v>0</v>
      </c>
      <c r="F28" s="83">
        <f>IFERROR(E28/'Data entry'!$F$32,0)</f>
        <v>0</v>
      </c>
      <c r="I28" s="84">
        <f>IFERROR('Reagents and consumables'!$O$2*E28,"")</f>
        <v>0</v>
      </c>
    </row>
    <row r="29" spans="2:9">
      <c r="B29" s="106"/>
      <c r="C29" s="91"/>
      <c r="D29" s="706"/>
      <c r="E29" s="53">
        <f t="shared" si="0"/>
        <v>0</v>
      </c>
      <c r="F29" s="83">
        <f>IFERROR(E29/'Data entry'!$F$32,0)</f>
        <v>0</v>
      </c>
      <c r="I29" s="84">
        <f>IFERROR('Reagents and consumables'!$O$2*E29,"")</f>
        <v>0</v>
      </c>
    </row>
    <row r="30" spans="2:9">
      <c r="B30" s="106"/>
      <c r="C30" s="91"/>
      <c r="D30" s="706"/>
      <c r="E30" s="53">
        <f t="shared" si="0"/>
        <v>0</v>
      </c>
      <c r="F30" s="83">
        <f>IFERROR(E30/'Data entry'!$F$32,0)</f>
        <v>0</v>
      </c>
      <c r="I30" s="84">
        <f>IFERROR('Reagents and consumables'!$O$2*E30,"")</f>
        <v>0</v>
      </c>
    </row>
    <row r="31" spans="2:9">
      <c r="B31" s="106"/>
      <c r="C31" s="91"/>
      <c r="D31" s="706"/>
      <c r="E31" s="53">
        <f t="shared" si="0"/>
        <v>0</v>
      </c>
      <c r="F31" s="83">
        <f>IFERROR(E31/'Data entry'!$F$32,0)</f>
        <v>0</v>
      </c>
      <c r="I31" s="84">
        <f>IFERROR('Reagents and consumables'!$O$2*E31,"")</f>
        <v>0</v>
      </c>
    </row>
    <row r="32" spans="2:9">
      <c r="B32" s="106"/>
      <c r="C32" s="91"/>
      <c r="D32" s="706"/>
      <c r="E32" s="53">
        <f t="shared" si="0"/>
        <v>0</v>
      </c>
      <c r="F32" s="83">
        <f>IFERROR(E32/'Data entry'!$F$32,0)</f>
        <v>0</v>
      </c>
      <c r="I32" s="84">
        <f>IFERROR('Reagents and consumables'!$O$2*E32,"")</f>
        <v>0</v>
      </c>
    </row>
    <row r="33" spans="2:9">
      <c r="B33" s="106"/>
      <c r="C33" s="91"/>
      <c r="D33" s="706"/>
      <c r="E33" s="53">
        <f t="shared" si="0"/>
        <v>0</v>
      </c>
      <c r="F33" s="83">
        <f>IFERROR(E33/'Data entry'!$F$32,0)</f>
        <v>0</v>
      </c>
      <c r="I33" s="84">
        <f>IFERROR('Reagents and consumables'!$O$2*E33,"")</f>
        <v>0</v>
      </c>
    </row>
    <row r="34" spans="2:9">
      <c r="B34" s="106"/>
      <c r="C34" s="91"/>
      <c r="D34" s="706"/>
      <c r="E34" s="53">
        <f t="shared" si="0"/>
        <v>0</v>
      </c>
      <c r="F34" s="83">
        <f>IFERROR(E34/'Data entry'!$F$32,0)</f>
        <v>0</v>
      </c>
      <c r="I34" s="84">
        <f>IFERROR('Reagents and consumables'!$O$2*E34,"")</f>
        <v>0</v>
      </c>
    </row>
    <row r="35" spans="2:9">
      <c r="B35" s="106"/>
      <c r="C35" s="91"/>
      <c r="D35" s="706"/>
      <c r="E35" s="53">
        <f t="shared" si="0"/>
        <v>0</v>
      </c>
      <c r="F35" s="83">
        <f>IFERROR(E35/'Data entry'!$F$32,0)</f>
        <v>0</v>
      </c>
      <c r="I35" s="84">
        <f>IFERROR('Reagents and consumables'!$O$2*E35,"")</f>
        <v>0</v>
      </c>
    </row>
    <row r="36" spans="2:9">
      <c r="B36" s="107"/>
      <c r="C36" s="92"/>
      <c r="D36" s="706"/>
      <c r="E36" s="53">
        <f t="shared" si="0"/>
        <v>0</v>
      </c>
      <c r="F36" s="83">
        <f>IFERROR(E36/'Data entry'!$F$32,0)</f>
        <v>0</v>
      </c>
      <c r="I36" s="84">
        <f>IFERROR('Reagents and consumables'!$O$2*E36,"")</f>
        <v>0</v>
      </c>
    </row>
    <row r="37" spans="2:9">
      <c r="B37" s="757"/>
      <c r="C37" s="757"/>
      <c r="D37" s="757"/>
      <c r="E37" s="757"/>
      <c r="F37" s="757"/>
      <c r="I37" s="78"/>
    </row>
    <row r="40" spans="2:9" ht="57.9" thickBot="1">
      <c r="B40" s="742" t="str">
        <f>Language!B108</f>
        <v>Additional admin cost percentage</v>
      </c>
      <c r="C40" s="743"/>
      <c r="E40" s="43" t="str">
        <f>Language!B110</f>
        <v>Annual sequencing/bioinformatics training cost for the selected pathogens</v>
      </c>
      <c r="F40" s="42" t="str">
        <f>Language!B111</f>
        <v>Training cost per sample</v>
      </c>
    </row>
    <row r="41" spans="2:9" ht="14.7" thickBot="1">
      <c r="B41" s="664">
        <v>0.1</v>
      </c>
      <c r="C41" s="64">
        <f>SUM(E5:E36)*B41</f>
        <v>1800</v>
      </c>
      <c r="E41" s="93">
        <v>5000</v>
      </c>
      <c r="F41" s="55">
        <f>IFERROR(E41/'Data entry'!F32,0)</f>
        <v>6.25</v>
      </c>
    </row>
    <row r="42" spans="2:9" ht="14.7" thickBot="1"/>
    <row r="43" spans="2:9" ht="14.7" thickBot="1">
      <c r="B43" s="740" t="str">
        <f>Language!B109</f>
        <v>Comments</v>
      </c>
      <c r="C43" s="760"/>
      <c r="D43" s="3"/>
      <c r="E43" s="767" t="str">
        <f>Language!B434</f>
        <v>Calculated costs – Personnel and training</v>
      </c>
      <c r="F43" s="767"/>
    </row>
    <row r="44" spans="2:9" ht="14.7" thickBot="1">
      <c r="B44" s="761"/>
      <c r="C44" s="762"/>
      <c r="E44" s="672" t="str">
        <f>Language!B112</f>
        <v>Total annual personnel cost</v>
      </c>
      <c r="F44" s="673" t="str">
        <f>Language!B113</f>
        <v>Total personnel cost per sample</v>
      </c>
    </row>
    <row r="45" spans="2:9" ht="14.7" thickBot="1">
      <c r="B45" s="763"/>
      <c r="C45" s="764"/>
      <c r="E45" s="277">
        <f>SUM(E5:E36,C41,E41)</f>
        <v>24800</v>
      </c>
      <c r="F45" s="278">
        <f>IFERROR(E45/'Data entry'!F32,0)</f>
        <v>31</v>
      </c>
    </row>
    <row r="46" spans="2:9">
      <c r="B46" s="763"/>
      <c r="C46" s="764"/>
    </row>
    <row r="47" spans="2:9">
      <c r="B47" s="765"/>
      <c r="C47" s="766"/>
    </row>
    <row r="53" spans="9:9">
      <c r="I53" s="674"/>
    </row>
  </sheetData>
  <sheetProtection algorithmName="SHA-512" hashValue="9jJA6ibX93uoe2o04qBaUWmLlRUaYZ7KrcGx+gdwG7+cVyb2rqhXVn8qmAh2UOpaZb6Nlw0pAgCVnby7c07lBA==" saltValue="5OVHHaW06aL0xO86C5lzpA==" spinCount="100000" sheet="1" objects="1" scenarios="1" formatColumns="0" formatRows="0"/>
  <mergeCells count="6">
    <mergeCell ref="B43:C43"/>
    <mergeCell ref="B44:C47"/>
    <mergeCell ref="B2:F2"/>
    <mergeCell ref="B40:C40"/>
    <mergeCell ref="B37:F37"/>
    <mergeCell ref="E43:F43"/>
  </mergeCells>
  <phoneticPr fontId="4" type="noConversion"/>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DFC5-2B2A-4E6D-A187-8087E3D9302C}">
  <dimension ref="B2:O50"/>
  <sheetViews>
    <sheetView topLeftCell="G36" zoomScale="120" zoomScaleNormal="120" workbookViewId="0">
      <selection activeCell="I55" sqref="I55"/>
    </sheetView>
  </sheetViews>
  <sheetFormatPr defaultColWidth="8.41796875" defaultRowHeight="14.4"/>
  <cols>
    <col min="1" max="1" width="3.68359375" customWidth="1"/>
    <col min="2" max="2" width="27.41796875" bestFit="1" customWidth="1"/>
    <col min="3" max="3" width="23.15625" customWidth="1"/>
    <col min="4" max="4" width="13.41796875" customWidth="1"/>
    <col min="5" max="5" width="41.15625" customWidth="1"/>
    <col min="6" max="6" width="25.41796875" customWidth="1"/>
    <col min="7" max="8" width="21" customWidth="1"/>
    <col min="9" max="9" width="27.41796875" customWidth="1"/>
    <col min="10" max="10" width="27.26171875" style="75" customWidth="1"/>
    <col min="11" max="11" width="35.41796875" style="75" customWidth="1"/>
    <col min="12" max="12" width="11" style="75" customWidth="1"/>
  </cols>
  <sheetData>
    <row r="2" spans="2:11">
      <c r="B2" s="780" t="str">
        <f>Language!B114</f>
        <v>Facility and transport</v>
      </c>
      <c r="C2" s="781"/>
      <c r="D2" s="781"/>
      <c r="E2" s="781"/>
      <c r="F2" s="781"/>
      <c r="G2" s="781"/>
      <c r="H2" s="781"/>
      <c r="I2" s="782"/>
    </row>
    <row r="3" spans="2:11">
      <c r="B3" s="49"/>
      <c r="C3" s="49"/>
      <c r="D3" s="49"/>
      <c r="E3" s="49"/>
      <c r="F3" s="49"/>
      <c r="G3" s="49"/>
      <c r="H3" s="49"/>
      <c r="I3" s="49"/>
    </row>
    <row r="4" spans="2:11">
      <c r="B4" s="783" t="str">
        <f>Language!B115</f>
        <v>Facility</v>
      </c>
      <c r="C4" s="784"/>
      <c r="D4" s="49"/>
      <c r="E4" s="49"/>
      <c r="F4" s="49"/>
      <c r="G4" s="49"/>
      <c r="H4" s="49"/>
      <c r="I4" s="49"/>
      <c r="K4" s="180" t="str">
        <f>Language!B69</f>
        <v>Local currency (reference only)</v>
      </c>
    </row>
    <row r="5" spans="2:11">
      <c r="B5" s="118" t="str">
        <f>Language!B116</f>
        <v>Facility services</v>
      </c>
      <c r="C5" s="118" t="str">
        <f>Language!B117</f>
        <v>Cost per month</v>
      </c>
      <c r="D5" s="49"/>
      <c r="E5" s="785" t="str">
        <f>Language!B431</f>
        <v>Calculated costs – Facility</v>
      </c>
      <c r="F5" s="786"/>
      <c r="G5" s="786"/>
      <c r="H5" s="49"/>
      <c r="I5" s="49"/>
      <c r="K5" s="182"/>
    </row>
    <row r="6" spans="2:11" hidden="1">
      <c r="B6" s="183" t="s">
        <v>30</v>
      </c>
      <c r="C6" s="184" t="s">
        <v>31</v>
      </c>
    </row>
    <row r="7" spans="2:11" ht="30" customHeight="1">
      <c r="B7" s="652" t="str">
        <f>Language!B118</f>
        <v>Rent</v>
      </c>
      <c r="C7" s="94">
        <v>0</v>
      </c>
      <c r="E7" s="779" t="str">
        <f>Language!B130</f>
        <v>Total facility cost/month</v>
      </c>
      <c r="F7" s="779"/>
      <c r="G7" s="175">
        <f>SUM(C7:C32)</f>
        <v>2850</v>
      </c>
      <c r="H7" s="176"/>
      <c r="K7" s="74">
        <f>IFERROR('Reagents and consumables'!$O$2*G7,"")</f>
        <v>0</v>
      </c>
    </row>
    <row r="8" spans="2:11">
      <c r="B8" s="652" t="str">
        <f>Language!B119</f>
        <v>Building maintenance</v>
      </c>
      <c r="C8" s="94">
        <v>200</v>
      </c>
      <c r="E8" s="779" t="str">
        <f>Language!B131</f>
        <v>Percentage of the facility used for sequencing of selected pathogens</v>
      </c>
      <c r="F8" s="779"/>
      <c r="G8" s="707">
        <v>0.2</v>
      </c>
      <c r="H8" s="181"/>
      <c r="K8" s="78"/>
    </row>
    <row r="9" spans="2:11">
      <c r="B9" s="652" t="str">
        <f>Language!B120</f>
        <v>Gas and heating</v>
      </c>
      <c r="C9" s="94">
        <v>200</v>
      </c>
      <c r="E9" s="779" t="str">
        <f>Language!B132</f>
        <v>Annual facility cost</v>
      </c>
      <c r="F9" s="779"/>
      <c r="G9" s="175">
        <f>G7*G8*12</f>
        <v>6840</v>
      </c>
      <c r="H9" s="176"/>
      <c r="K9" s="74">
        <f>IFERROR('Reagents and consumables'!$O$2*G9,"")</f>
        <v>0</v>
      </c>
    </row>
    <row r="10" spans="2:11">
      <c r="B10" s="652" t="str">
        <f>Language!B121</f>
        <v>Water</v>
      </c>
      <c r="C10" s="94">
        <v>100</v>
      </c>
      <c r="E10" s="779" t="str">
        <f>Language!B133</f>
        <v>Facility cost per sample</v>
      </c>
      <c r="F10" s="779"/>
      <c r="G10" s="177">
        <f>IFERROR(G9/('Data entry'!$F$32),0)</f>
        <v>8.5500000000000007</v>
      </c>
      <c r="H10" s="72"/>
      <c r="K10" s="74">
        <f>IFERROR('Reagents and consumables'!$O$2*G10,"")</f>
        <v>0</v>
      </c>
    </row>
    <row r="11" spans="2:11">
      <c r="B11" s="652" t="str">
        <f>Language!B122</f>
        <v>Electricity</v>
      </c>
      <c r="C11" s="94">
        <v>500</v>
      </c>
    </row>
    <row r="12" spans="2:11">
      <c r="B12" s="652" t="str">
        <f>Language!B123</f>
        <v>Internet</v>
      </c>
      <c r="C12" s="94">
        <v>200</v>
      </c>
    </row>
    <row r="13" spans="2:11">
      <c r="B13" s="652" t="str">
        <f>Language!B124</f>
        <v>Telephone</v>
      </c>
      <c r="C13" s="94">
        <v>100</v>
      </c>
    </row>
    <row r="14" spans="2:11">
      <c r="B14" s="652" t="str">
        <f>Language!B125</f>
        <v>Waste management</v>
      </c>
      <c r="C14" s="94">
        <v>1000</v>
      </c>
    </row>
    <row r="15" spans="2:11" ht="31.5" customHeight="1">
      <c r="B15" s="652" t="str">
        <f>Language!B126</f>
        <v>Generator maintenance</v>
      </c>
      <c r="C15" s="94">
        <v>100</v>
      </c>
    </row>
    <row r="16" spans="2:11" ht="28.8">
      <c r="B16" s="652" t="str">
        <f>Language!B127</f>
        <v>Ventilation system maintenance</v>
      </c>
      <c r="C16" s="94">
        <v>300</v>
      </c>
    </row>
    <row r="17" spans="2:15" ht="15" customHeight="1">
      <c r="B17" s="652" t="str">
        <f>Language!B128</f>
        <v>Generator fuel</v>
      </c>
      <c r="C17" s="94">
        <v>50</v>
      </c>
    </row>
    <row r="18" spans="2:15" ht="15" customHeight="1">
      <c r="B18" s="652" t="str">
        <f>Language!B394</f>
        <v>Laboratory information management system (LIMS)</v>
      </c>
      <c r="C18" s="94">
        <v>100</v>
      </c>
    </row>
    <row r="19" spans="2:15" ht="15" customHeight="1">
      <c r="B19" s="132"/>
      <c r="C19" s="94"/>
    </row>
    <row r="20" spans="2:15">
      <c r="B20" s="132"/>
      <c r="C20" s="94"/>
    </row>
    <row r="21" spans="2:15" ht="14.7" thickBot="1">
      <c r="B21" s="132"/>
      <c r="C21" s="94"/>
    </row>
    <row r="22" spans="2:15">
      <c r="B22" s="132"/>
      <c r="C22" s="94"/>
      <c r="E22" s="774" t="str">
        <f>Language!B134</f>
        <v>Transport</v>
      </c>
      <c r="F22" s="775"/>
      <c r="G22" s="775"/>
      <c r="H22" s="775"/>
      <c r="I22" s="776"/>
    </row>
    <row r="23" spans="2:15" ht="43.2">
      <c r="B23" s="132"/>
      <c r="C23" s="94"/>
      <c r="E23" s="178" t="str">
        <f>Language!B135</f>
        <v>Transportation services</v>
      </c>
      <c r="F23" s="178" t="str">
        <f>Language!B136</f>
        <v>Shipment method</v>
      </c>
      <c r="G23" s="178" t="str">
        <f>Language!B137</f>
        <v>Annual cost</v>
      </c>
      <c r="H23" s="178" t="str">
        <f>Language!B330</f>
        <v>Percentage for sequencing of selected pathogens</v>
      </c>
      <c r="I23" s="179" t="str">
        <f>Language!B138</f>
        <v>Transportation cost per sample per service</v>
      </c>
      <c r="J23"/>
      <c r="K23" s="180" t="str">
        <f>Language!B69</f>
        <v>Local currency (reference only)</v>
      </c>
      <c r="L23"/>
      <c r="O23" s="75"/>
    </row>
    <row r="24" spans="2:15" ht="28.8" hidden="1">
      <c r="B24" s="132"/>
      <c r="C24" s="94"/>
      <c r="E24" s="173" t="s">
        <v>32</v>
      </c>
      <c r="F24" s="173" t="s">
        <v>33</v>
      </c>
      <c r="G24" s="173" t="s">
        <v>34</v>
      </c>
      <c r="H24" s="173" t="s">
        <v>14</v>
      </c>
      <c r="I24" s="174" t="s">
        <v>35</v>
      </c>
      <c r="J24"/>
      <c r="K24" s="166" t="s">
        <v>2</v>
      </c>
      <c r="L24"/>
      <c r="O24" s="75"/>
    </row>
    <row r="25" spans="2:15">
      <c r="B25" s="132"/>
      <c r="C25" s="94"/>
      <c r="E25" s="653" t="str">
        <f>Language!B143</f>
        <v>Regional to national reference laboratory</v>
      </c>
      <c r="F25" s="653" t="str">
        <f>Language!B147</f>
        <v>Courier</v>
      </c>
      <c r="G25" s="91">
        <v>1000</v>
      </c>
      <c r="H25" s="708">
        <v>0.15</v>
      </c>
      <c r="I25" s="79">
        <f>IFERROR(G25*Table16[[#This Row],[Column1]]/('Data entry'!$F$32),0)</f>
        <v>0.1875</v>
      </c>
      <c r="J25"/>
      <c r="K25" s="80">
        <f>IFERROR('Reagents and consumables'!$O$2*G25,"")</f>
        <v>0</v>
      </c>
      <c r="L25"/>
      <c r="O25" s="75"/>
    </row>
    <row r="26" spans="2:15">
      <c r="B26" s="132"/>
      <c r="C26" s="94"/>
      <c r="E26" s="654" t="str">
        <f>Language!B144</f>
        <v>Insurance (if applicable)</v>
      </c>
      <c r="F26" s="96"/>
      <c r="G26" s="91"/>
      <c r="H26" s="708"/>
      <c r="I26" s="79">
        <f>IFERROR(G26*Table16[[#This Row],[Column1]]/('Data entry'!$F$32),0)</f>
        <v>0</v>
      </c>
      <c r="J26"/>
      <c r="K26" s="80">
        <f>IFERROR('Reagents and consumables'!$O$2*G26,"")</f>
        <v>0</v>
      </c>
      <c r="L26"/>
      <c r="O26" s="75"/>
    </row>
    <row r="27" spans="2:15">
      <c r="B27" s="132"/>
      <c r="C27" s="94"/>
      <c r="E27" s="654" t="str">
        <f>Language!B145</f>
        <v>Exportation fees (if applicable)</v>
      </c>
      <c r="F27" s="96"/>
      <c r="G27" s="91"/>
      <c r="H27" s="708"/>
      <c r="I27" s="79">
        <f>IFERROR(G27*Table16[[#This Row],[Column1]]/('Data entry'!$F$32),0)</f>
        <v>0</v>
      </c>
      <c r="J27"/>
      <c r="K27" s="80">
        <f>IFERROR('Reagents and consumables'!$O$2*G27,"")</f>
        <v>0</v>
      </c>
      <c r="L27"/>
      <c r="O27" s="75"/>
    </row>
    <row r="28" spans="2:15">
      <c r="B28" s="132"/>
      <c r="C28" s="94"/>
      <c r="E28" s="654" t="str">
        <f>Language!B146</f>
        <v>Customs clearance fees</v>
      </c>
      <c r="F28" s="97"/>
      <c r="G28" s="91"/>
      <c r="H28" s="709"/>
      <c r="I28" s="79">
        <f>IFERROR(G28*Table16[[#This Row],[Column1]]/('Data entry'!$F$32),0)</f>
        <v>0</v>
      </c>
      <c r="J28"/>
      <c r="K28" s="80">
        <f>IFERROR('Reagents and consumables'!$O$2*G28,"")</f>
        <v>0</v>
      </c>
      <c r="L28"/>
      <c r="O28" s="75"/>
    </row>
    <row r="29" spans="2:15">
      <c r="B29" s="132"/>
      <c r="C29" s="94"/>
      <c r="E29" s="133"/>
      <c r="F29" s="97"/>
      <c r="G29" s="91"/>
      <c r="H29" s="709"/>
      <c r="I29" s="79">
        <f>IFERROR(G29*Table16[[#This Row],[Column1]]/('Data entry'!$F$32),0)</f>
        <v>0</v>
      </c>
      <c r="J29"/>
      <c r="K29" s="80">
        <f>IFERROR('Reagents and consumables'!$O$2*G29,"")</f>
        <v>0</v>
      </c>
      <c r="L29"/>
      <c r="O29" s="75"/>
    </row>
    <row r="30" spans="2:15">
      <c r="B30" s="132"/>
      <c r="C30" s="94"/>
      <c r="E30" s="133"/>
      <c r="F30" s="97"/>
      <c r="G30" s="91"/>
      <c r="H30" s="709"/>
      <c r="I30" s="79">
        <f>IFERROR(G30*Table16[[#This Row],[Column1]]/('Data entry'!$F$32),0)</f>
        <v>0</v>
      </c>
      <c r="J30"/>
      <c r="K30" s="80">
        <f>IFERROR('Reagents and consumables'!$O$2*G30,"")</f>
        <v>0</v>
      </c>
      <c r="L30"/>
      <c r="O30" s="75"/>
    </row>
    <row r="31" spans="2:15">
      <c r="B31" s="132"/>
      <c r="C31" s="94"/>
      <c r="E31" s="133"/>
      <c r="F31" s="97"/>
      <c r="G31" s="91"/>
      <c r="H31" s="709"/>
      <c r="I31" s="79">
        <f>IFERROR(G31*Table16[[#This Row],[Column1]]/('Data entry'!$F$32),0)</f>
        <v>0</v>
      </c>
      <c r="J31"/>
      <c r="K31" s="80">
        <f>IFERROR('Reagents and consumables'!$O$2*G31,"")</f>
        <v>0</v>
      </c>
      <c r="L31"/>
      <c r="O31" s="75"/>
    </row>
    <row r="32" spans="2:15">
      <c r="B32" s="132"/>
      <c r="C32" s="94"/>
      <c r="E32" s="133"/>
      <c r="F32" s="97"/>
      <c r="G32" s="91"/>
      <c r="H32" s="709"/>
      <c r="I32" s="79">
        <f>IFERROR(G32*Table16[[#This Row],[Column1]]/('Data entry'!$F$32),0)</f>
        <v>0</v>
      </c>
      <c r="J32"/>
      <c r="K32" s="80">
        <f>IFERROR('Reagents and consumables'!$O$2*G32,"")</f>
        <v>0</v>
      </c>
      <c r="L32"/>
      <c r="O32" s="75"/>
    </row>
    <row r="33" spans="2:15">
      <c r="B33" s="772"/>
      <c r="C33" s="772"/>
      <c r="E33" s="133"/>
      <c r="F33" s="97"/>
      <c r="G33" s="91"/>
      <c r="H33" s="709"/>
      <c r="I33" s="79">
        <f>IFERROR(G33*Table16[[#This Row],[Column1]]/('Data entry'!$F$32),0)</f>
        <v>0</v>
      </c>
      <c r="J33"/>
      <c r="K33" s="80">
        <f>IFERROR('Reagents and consumables'!$O$2*G33,"")</f>
        <v>0</v>
      </c>
      <c r="L33"/>
      <c r="O33" s="75"/>
    </row>
    <row r="34" spans="2:15">
      <c r="B34" s="172"/>
      <c r="C34" s="172"/>
      <c r="E34" s="133"/>
      <c r="F34" s="97"/>
      <c r="G34" s="91"/>
      <c r="H34" s="709"/>
      <c r="I34" s="79">
        <f>IFERROR(G34*Table16[[#This Row],[Column1]]/('Data entry'!$F$32),0)</f>
        <v>0</v>
      </c>
      <c r="J34"/>
      <c r="K34" s="80">
        <f>IFERROR('Reagents and consumables'!$O$2*G34,"")</f>
        <v>0</v>
      </c>
      <c r="L34"/>
      <c r="O34" s="75"/>
    </row>
    <row r="35" spans="2:15" ht="15" customHeight="1">
      <c r="B35" s="172"/>
      <c r="C35" s="172"/>
      <c r="E35" s="133"/>
      <c r="F35" s="97"/>
      <c r="G35" s="91"/>
      <c r="H35" s="709"/>
      <c r="I35" s="79">
        <f>IFERROR(G35*Table16[[#This Row],[Column1]]/('Data entry'!$F$32),0)</f>
        <v>0</v>
      </c>
      <c r="J35"/>
      <c r="K35" s="80">
        <f>IFERROR('Reagents and consumables'!$O$2*G35,"")</f>
        <v>0</v>
      </c>
      <c r="L35"/>
      <c r="O35" s="75"/>
    </row>
    <row r="36" spans="2:15">
      <c r="B36" s="172"/>
      <c r="C36" s="172"/>
      <c r="E36" s="133"/>
      <c r="F36" s="97"/>
      <c r="G36" s="91"/>
      <c r="H36" s="709"/>
      <c r="I36" s="79">
        <f>IFERROR(G36*Table16[[#This Row],[Column1]]/('Data entry'!$F$32),0)</f>
        <v>0</v>
      </c>
      <c r="J36"/>
      <c r="K36" s="80">
        <f>IFERROR('Reagents and consumables'!$O$2*G36,"")</f>
        <v>0</v>
      </c>
      <c r="L36"/>
      <c r="O36" s="75"/>
    </row>
    <row r="37" spans="2:15">
      <c r="E37" s="134"/>
      <c r="F37" s="97"/>
      <c r="G37" s="91"/>
      <c r="H37" s="709"/>
      <c r="I37" s="79">
        <f>IFERROR(G37*Table16[[#This Row],[Column1]]/('Data entry'!$F$32),0)</f>
        <v>0</v>
      </c>
      <c r="J37"/>
      <c r="K37" s="80">
        <f>IFERROR('Reagents and consumables'!$O$2*G37,"")</f>
        <v>0</v>
      </c>
      <c r="L37"/>
      <c r="O37" s="75"/>
    </row>
    <row r="38" spans="2:15">
      <c r="E38" s="109"/>
      <c r="F38" s="98"/>
      <c r="G38" s="91"/>
      <c r="H38" s="710"/>
      <c r="I38" s="79">
        <f>IFERROR(G38*Table16[[#This Row],[Column1]]/('Data entry'!$F$32),0)</f>
        <v>0</v>
      </c>
      <c r="J38"/>
      <c r="K38" s="80">
        <f>IFERROR('Reagents and consumables'!$O$2*G38,"")</f>
        <v>0</v>
      </c>
      <c r="L38"/>
      <c r="M38" s="75"/>
      <c r="O38" s="75"/>
    </row>
    <row r="39" spans="2:15">
      <c r="E39" s="109"/>
      <c r="F39" s="98"/>
      <c r="G39" s="91"/>
      <c r="H39" s="710"/>
      <c r="I39" s="79">
        <f>IFERROR(G39*Table16[[#This Row],[Column1]]/('Data entry'!$F$32),0)</f>
        <v>0</v>
      </c>
      <c r="J39"/>
      <c r="K39" s="80">
        <f>IFERROR('Reagents and consumables'!$O$2*G39,"")</f>
        <v>0</v>
      </c>
      <c r="L39"/>
      <c r="M39" s="75"/>
      <c r="O39" s="75"/>
    </row>
    <row r="40" spans="2:15">
      <c r="E40" s="109"/>
      <c r="F40" s="90"/>
      <c r="G40" s="91"/>
      <c r="H40" s="711"/>
      <c r="I40" s="79">
        <f>IFERROR(G40*Table16[[#This Row],[Column1]]/('Data entry'!$F$32),0)</f>
        <v>0</v>
      </c>
      <c r="J40"/>
      <c r="K40" s="80">
        <f>IFERROR('Reagents and consumables'!$O$2*G40,"")</f>
        <v>0</v>
      </c>
      <c r="L40"/>
      <c r="M40" s="75"/>
      <c r="O40" s="75"/>
    </row>
    <row r="41" spans="2:15">
      <c r="E41" s="109"/>
      <c r="F41" s="90"/>
      <c r="G41" s="91"/>
      <c r="H41" s="711"/>
      <c r="I41" s="79">
        <f>IFERROR(G41*Table16[[#This Row],[Column1]]/('Data entry'!$F$32),0)</f>
        <v>0</v>
      </c>
      <c r="K41" s="80">
        <f>IFERROR('Reagents and consumables'!$O$2*G41,"")</f>
        <v>0</v>
      </c>
    </row>
    <row r="42" spans="2:15">
      <c r="E42" s="105"/>
      <c r="F42" s="95"/>
      <c r="G42" s="91"/>
      <c r="H42" s="708"/>
      <c r="I42" s="79">
        <f>IFERROR(G42*Table16[[#This Row],[Column1]]/('Data entry'!$F$32),0)</f>
        <v>0</v>
      </c>
      <c r="K42" s="80">
        <f>IFERROR('Reagents and consumables'!$O$2*G42,"")</f>
        <v>0</v>
      </c>
    </row>
    <row r="43" spans="2:15">
      <c r="E43" s="105"/>
      <c r="F43" s="95"/>
      <c r="G43" s="91"/>
      <c r="H43" s="708"/>
      <c r="I43" s="79">
        <f>IFERROR(G43*Table16[[#This Row],[Column1]]/('Data entry'!$F$32),0)</f>
        <v>0</v>
      </c>
      <c r="K43" s="80">
        <f>IFERROR('Reagents and consumables'!$O$2*G43,"")</f>
        <v>0</v>
      </c>
    </row>
    <row r="44" spans="2:15">
      <c r="E44" s="773"/>
      <c r="F44" s="773"/>
      <c r="G44" s="773"/>
      <c r="H44" s="773"/>
      <c r="I44" s="773"/>
      <c r="K44" s="167"/>
    </row>
    <row r="45" spans="2:15" ht="29.1" thickBot="1">
      <c r="F45" s="679" t="str">
        <f>Language!B245</f>
        <v>Total annual transport-related cost</v>
      </c>
      <c r="G45" s="169">
        <f>SUMPRODUCT(Table16[Annual cost], Table16[Column1])</f>
        <v>150</v>
      </c>
      <c r="H45" s="168" t="str">
        <f>Language!B246</f>
        <v>Total transport-related cost per sample</v>
      </c>
      <c r="I45" s="170">
        <f>SUM(I25:I43)</f>
        <v>0.1875</v>
      </c>
      <c r="K45" s="171">
        <f>IFERROR('Reagents and consumables'!$O$2*G45,"")</f>
        <v>0</v>
      </c>
    </row>
    <row r="46" spans="2:15" ht="14.7" thickBot="1"/>
    <row r="47" spans="2:15" ht="15.75" customHeight="1">
      <c r="G47" s="777" t="str">
        <f>Language!B433</f>
        <v>Calculated costs – Facility and transport</v>
      </c>
      <c r="H47" s="778"/>
      <c r="I47" s="778"/>
    </row>
    <row r="48" spans="2:15" ht="39" customHeight="1">
      <c r="G48" s="770" t="str">
        <f>Language!B141</f>
        <v>Total annual facility and transportation cost</v>
      </c>
      <c r="H48" s="771"/>
      <c r="I48" s="678">
        <f>SUM($G$9,$G$45)</f>
        <v>6990</v>
      </c>
    </row>
    <row r="49" spans="7:9" ht="45.75" customHeight="1" thickBot="1">
      <c r="G49" s="768" t="str">
        <f>Language!B142</f>
        <v>Facility and transportation cost per sample</v>
      </c>
      <c r="H49" s="769"/>
      <c r="I49" s="279">
        <f>SUM($G$10,$I$45)</f>
        <v>8.7375000000000007</v>
      </c>
    </row>
    <row r="50" spans="7:9">
      <c r="H50" s="6"/>
    </row>
  </sheetData>
  <sheetProtection algorithmName="SHA-512" hashValue="y+uR+ZY2ik7z8FmzVWyY4VIDCR8HIQmVlCuzlKE10Il7AGkbVhukr8CJmho0rCWfAWC2QXHgCGyPmOIw8bFQPQ==" saltValue="fDr1zbZNSS3AKPfPDPZeQQ==" spinCount="100000" sheet="1" objects="1" scenarios="1" formatColumns="0" formatRows="0"/>
  <mergeCells count="13">
    <mergeCell ref="E10:F10"/>
    <mergeCell ref="B2:I2"/>
    <mergeCell ref="B4:C4"/>
    <mergeCell ref="E7:F7"/>
    <mergeCell ref="E8:F8"/>
    <mergeCell ref="E9:F9"/>
    <mergeCell ref="E5:G5"/>
    <mergeCell ref="G49:H49"/>
    <mergeCell ref="G48:H48"/>
    <mergeCell ref="B33:C33"/>
    <mergeCell ref="E44:I44"/>
    <mergeCell ref="E22:I22"/>
    <mergeCell ref="G47:I47"/>
  </mergeCells>
  <pageMargins left="0.7" right="0.7" top="0.75" bottom="0.75" header="0.3" footer="0.3"/>
  <pageSetup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EAE5-30D0-43EC-B575-DF56812C8596}">
  <dimension ref="A2:K85"/>
  <sheetViews>
    <sheetView topLeftCell="A19" zoomScale="120" zoomScaleNormal="120" workbookViewId="0">
      <selection activeCell="A23" sqref="A23"/>
    </sheetView>
  </sheetViews>
  <sheetFormatPr defaultColWidth="8.41796875" defaultRowHeight="14.4" outlineLevelRow="1"/>
  <cols>
    <col min="1" max="1" width="51.83984375" customWidth="1"/>
    <col min="2" max="2" width="83.41796875" customWidth="1"/>
    <col min="3" max="3" width="17" customWidth="1"/>
    <col min="4" max="4" width="20.41796875" customWidth="1"/>
    <col min="5" max="5" width="27.83984375" customWidth="1"/>
    <col min="6" max="6" width="26.41796875" customWidth="1"/>
    <col min="7" max="8" width="25.41796875" customWidth="1"/>
    <col min="9" max="9" width="33" customWidth="1"/>
    <col min="10" max="10" width="24.41796875" bestFit="1" customWidth="1"/>
    <col min="11" max="11" width="33.41796875" style="75" customWidth="1"/>
  </cols>
  <sheetData>
    <row r="2" spans="1:11" ht="15.75" customHeight="1">
      <c r="A2" s="789" t="str">
        <f>Language!B148</f>
        <v>Bioinformatics cost – by type of bioinformatics equipment or software solution</v>
      </c>
      <c r="B2" s="789"/>
      <c r="C2" s="789"/>
      <c r="D2" s="789"/>
      <c r="E2" s="789"/>
      <c r="F2" s="789"/>
      <c r="G2" s="789"/>
      <c r="H2" s="789"/>
      <c r="I2" s="789"/>
    </row>
    <row r="3" spans="1:11" ht="35.25" customHeight="1">
      <c r="A3" s="790" t="str">
        <f>Language!B149</f>
        <v>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v>
      </c>
      <c r="B3" s="790"/>
      <c r="C3" s="790"/>
      <c r="D3" s="790"/>
      <c r="E3" s="790"/>
      <c r="F3" s="790"/>
      <c r="G3" s="790"/>
      <c r="H3" s="790"/>
      <c r="I3" s="790"/>
    </row>
    <row r="5" spans="1:11">
      <c r="A5" s="794" t="str">
        <f>Language!B150</f>
        <v>Cloud-based analysis software</v>
      </c>
      <c r="B5" s="794"/>
      <c r="C5" s="794"/>
      <c r="D5" s="794"/>
      <c r="E5" s="794"/>
      <c r="F5" s="794"/>
      <c r="G5" s="794"/>
      <c r="H5" s="794"/>
      <c r="I5" s="794"/>
    </row>
    <row r="6" spans="1:11" ht="57.6">
      <c r="A6" s="136" t="str">
        <f>Language!B151</f>
        <v xml:space="preserve">Software platforms and storage </v>
      </c>
      <c r="B6" s="136" t="str">
        <f>Language!B152</f>
        <v>Description </v>
      </c>
      <c r="C6" s="136" t="str">
        <f>Language!B153</f>
        <v>Price per unit (USD)</v>
      </c>
      <c r="D6" s="136" t="str">
        <f>Language!B154</f>
        <v>Quantity of units</v>
      </c>
      <c r="E6" s="145" t="str">
        <f>Language!B414</f>
        <v>Total number of samples for which the platform is used (for all pathogens)</v>
      </c>
      <c r="F6" s="145" t="str">
        <f>Language!B415</f>
        <v>Number of samples in this costing scenario for which the platform is used (for the costed pathogens)</v>
      </c>
      <c r="G6" s="136" t="str">
        <f>Language!B155</f>
        <v>Total cost for the selected pathogens</v>
      </c>
      <c r="H6" s="796" t="str">
        <f>Language!B156</f>
        <v>Note</v>
      </c>
      <c r="I6" s="796"/>
      <c r="K6" s="131" t="str">
        <f>Language!B69</f>
        <v>Local currency (reference only)</v>
      </c>
    </row>
    <row r="7" spans="1:11" ht="45" customHeight="1">
      <c r="A7" s="655" t="str">
        <f>Language!B223</f>
        <v>Illumina BaseSpace software and cloud storage</v>
      </c>
      <c r="B7" s="655" t="str">
        <f>Language!B158</f>
        <v>Single user annual licence</v>
      </c>
      <c r="C7" s="94">
        <v>500</v>
      </c>
      <c r="D7" s="666">
        <v>1</v>
      </c>
      <c r="E7" s="666">
        <v>1600</v>
      </c>
      <c r="F7" s="666">
        <v>500</v>
      </c>
      <c r="G7" s="668">
        <f>IFERROR(C7*D7/E7*F7,0)</f>
        <v>156.25</v>
      </c>
      <c r="H7" s="797" t="str">
        <f>Language!B165</f>
        <v>Up to 1 TB storage is free and COVID Lineage App is free</v>
      </c>
      <c r="I7" s="798"/>
      <c r="K7" s="144">
        <f>IFERROR('Reagents and consumables'!$O$2*G7,"")</f>
        <v>0</v>
      </c>
    </row>
    <row r="8" spans="1:11">
      <c r="A8" s="655" t="str">
        <f>Language!B224</f>
        <v>Illumina BaseSpace additional cloud storage</v>
      </c>
      <c r="B8" s="655" t="str">
        <f>Language!B159</f>
        <v>For added storage beyond 1 TB over 1 year. If this is utilized, enter 0.36 as Price (USD)</v>
      </c>
      <c r="C8" s="153"/>
      <c r="D8" s="666"/>
      <c r="E8" s="666"/>
      <c r="F8" s="666"/>
      <c r="G8" s="668">
        <f t="shared" ref="G8:G21" si="0">IFERROR(C8*D8/E8*F8,0)</f>
        <v>0</v>
      </c>
      <c r="H8" s="787"/>
      <c r="I8" s="788"/>
      <c r="K8" s="144">
        <f>IFERROR('Reagents and consumables'!$O$2*G8,"")</f>
        <v>0</v>
      </c>
    </row>
    <row r="9" spans="1:11">
      <c r="A9" s="655" t="str">
        <f>Language!B225</f>
        <v>Qiagen CLC Genomics Workbench software</v>
      </c>
      <c r="B9" s="655" t="str">
        <f>Language!B160</f>
        <v>Single user annual licence</v>
      </c>
      <c r="C9" s="94"/>
      <c r="D9" s="666"/>
      <c r="E9" s="666"/>
      <c r="F9" s="666"/>
      <c r="G9" s="668">
        <f t="shared" si="0"/>
        <v>0</v>
      </c>
      <c r="H9" s="787"/>
      <c r="I9" s="788"/>
      <c r="K9" s="144">
        <f>IFERROR('Reagents and consumables'!$O$2*G9,"")</f>
        <v>0</v>
      </c>
    </row>
    <row r="10" spans="1:11">
      <c r="A10" s="655" t="str">
        <f>Language!B226</f>
        <v>Terra.Bio computing and cloud storage</v>
      </c>
      <c r="B10" s="655" t="str">
        <f>Language!B161</f>
        <v>Computing and storage cost. If this is utilized, enter 0.5 (SARS-CoV-2 analysis)</v>
      </c>
      <c r="C10" s="153"/>
      <c r="D10" s="666"/>
      <c r="E10" s="666"/>
      <c r="F10" s="666"/>
      <c r="G10" s="668">
        <f t="shared" si="0"/>
        <v>0</v>
      </c>
      <c r="H10" s="787"/>
      <c r="I10" s="788"/>
      <c r="K10" s="144">
        <f>IFERROR('Reagents and consumables'!$O$2*G10,"")</f>
        <v>0</v>
      </c>
    </row>
    <row r="11" spans="1:11">
      <c r="A11" s="655" t="str">
        <f>Language!B227</f>
        <v>NextFlow tower software</v>
      </c>
      <c r="B11" s="655" t="str">
        <f>Language!B162</f>
        <v>Software plus computational</v>
      </c>
      <c r="C11" s="94"/>
      <c r="D11" s="666"/>
      <c r="E11" s="666"/>
      <c r="F11" s="666"/>
      <c r="G11" s="668">
        <f t="shared" si="0"/>
        <v>0</v>
      </c>
      <c r="H11" s="787"/>
      <c r="I11" s="788"/>
      <c r="K11" s="144">
        <f>IFERROR('Reagents and consumables'!$O$2*G11,"")</f>
        <v>0</v>
      </c>
    </row>
    <row r="12" spans="1:11">
      <c r="A12" s="655" t="str">
        <f>Language!B228</f>
        <v>External HDD for storage</v>
      </c>
      <c r="B12" s="655" t="str">
        <f>Language!B163</f>
        <v>External HDD – 1TB for storage</v>
      </c>
      <c r="C12" s="94"/>
      <c r="D12" s="666"/>
      <c r="E12" s="666"/>
      <c r="F12" s="666"/>
      <c r="G12" s="668">
        <f t="shared" si="0"/>
        <v>0</v>
      </c>
      <c r="H12" s="787"/>
      <c r="I12" s="788"/>
      <c r="K12" s="144">
        <f>IFERROR('Reagents and consumables'!$O$2*G12,"")</f>
        <v>0</v>
      </c>
    </row>
    <row r="13" spans="1:11">
      <c r="A13" s="655" t="str">
        <f>Language!B229</f>
        <v>Outsourced</v>
      </c>
      <c r="B13" s="656" t="str">
        <f>Language!B164</f>
        <v xml:space="preserve">If outsourced, enter total fee in Price (USD) column and enter Quantity as 1 </v>
      </c>
      <c r="C13" s="94"/>
      <c r="D13" s="666"/>
      <c r="E13" s="666"/>
      <c r="F13" s="666"/>
      <c r="G13" s="668">
        <f t="shared" si="0"/>
        <v>0</v>
      </c>
      <c r="H13" s="787"/>
      <c r="I13" s="788"/>
      <c r="K13" s="144">
        <f>IFERROR('Reagents and consumables'!$O$2*G13,"")</f>
        <v>0</v>
      </c>
    </row>
    <row r="14" spans="1:11">
      <c r="A14" s="655" t="str">
        <f>Language!B369</f>
        <v>Amazon Web Services (AWS)</v>
      </c>
      <c r="B14" s="149"/>
      <c r="C14" s="94"/>
      <c r="D14" s="666"/>
      <c r="E14" s="666"/>
      <c r="F14" s="666"/>
      <c r="G14" s="668">
        <f t="shared" si="0"/>
        <v>0</v>
      </c>
      <c r="H14" s="787"/>
      <c r="I14" s="788"/>
      <c r="K14" s="144">
        <f>IFERROR('Reagents and consumables'!$O$2*G14,"")</f>
        <v>0</v>
      </c>
    </row>
    <row r="15" spans="1:11">
      <c r="A15" s="655" t="str">
        <f>Language!B370</f>
        <v>Seqera</v>
      </c>
      <c r="B15" s="149"/>
      <c r="C15" s="94"/>
      <c r="D15" s="666"/>
      <c r="E15" s="666"/>
      <c r="F15" s="666"/>
      <c r="G15" s="668">
        <f t="shared" si="0"/>
        <v>0</v>
      </c>
      <c r="H15" s="787"/>
      <c r="I15" s="788"/>
      <c r="K15" s="144">
        <f>IFERROR('Reagents and consumables'!$O$2*G15,"")</f>
        <v>0</v>
      </c>
    </row>
    <row r="16" spans="1:11">
      <c r="A16" s="655" t="str">
        <f>Language!B413</f>
        <v>Deeplex WebApp</v>
      </c>
      <c r="B16" s="149"/>
      <c r="C16" s="94"/>
      <c r="D16" s="666"/>
      <c r="E16" s="666"/>
      <c r="F16" s="666"/>
      <c r="G16" s="668">
        <f t="shared" si="0"/>
        <v>0</v>
      </c>
      <c r="H16" s="787"/>
      <c r="I16" s="788"/>
      <c r="K16" s="144">
        <f>IFERROR('Reagents and consumables'!$O$2*G16,"")</f>
        <v>0</v>
      </c>
    </row>
    <row r="17" spans="1:11">
      <c r="A17" s="655" t="str">
        <f>Language!B430</f>
        <v>Geneious</v>
      </c>
      <c r="B17" s="149"/>
      <c r="C17" s="94"/>
      <c r="D17" s="666"/>
      <c r="E17" s="666"/>
      <c r="F17" s="666"/>
      <c r="G17" s="668">
        <f t="shared" si="0"/>
        <v>0</v>
      </c>
      <c r="H17" s="787"/>
      <c r="I17" s="788"/>
      <c r="K17" s="144">
        <f>IFERROR('Reagents and consumables'!$O$2*G17,"")</f>
        <v>0</v>
      </c>
    </row>
    <row r="18" spans="1:11">
      <c r="A18" s="148"/>
      <c r="B18" s="149"/>
      <c r="C18" s="94"/>
      <c r="D18" s="666"/>
      <c r="E18" s="666"/>
      <c r="F18" s="666"/>
      <c r="G18" s="668">
        <f t="shared" si="0"/>
        <v>0</v>
      </c>
      <c r="H18" s="787"/>
      <c r="I18" s="788"/>
      <c r="K18" s="144">
        <f>IFERROR('Reagents and consumables'!$O$2*G18,"")</f>
        <v>0</v>
      </c>
    </row>
    <row r="19" spans="1:11">
      <c r="A19" s="148"/>
      <c r="B19" s="149"/>
      <c r="C19" s="94"/>
      <c r="D19" s="666"/>
      <c r="E19" s="666"/>
      <c r="F19" s="666"/>
      <c r="G19" s="668">
        <f t="shared" si="0"/>
        <v>0</v>
      </c>
      <c r="H19" s="787"/>
      <c r="I19" s="788"/>
      <c r="K19" s="144">
        <f>IFERROR('Reagents and consumables'!$O$2*G19,"")</f>
        <v>0</v>
      </c>
    </row>
    <row r="20" spans="1:11">
      <c r="A20" s="148"/>
      <c r="B20" s="149"/>
      <c r="C20" s="94"/>
      <c r="D20" s="666"/>
      <c r="E20" s="666"/>
      <c r="F20" s="666"/>
      <c r="G20" s="668">
        <f t="shared" si="0"/>
        <v>0</v>
      </c>
      <c r="H20" s="787"/>
      <c r="I20" s="788"/>
      <c r="K20" s="144">
        <f>IFERROR('Reagents and consumables'!$O$2*G20,"")</f>
        <v>0</v>
      </c>
    </row>
    <row r="21" spans="1:11">
      <c r="A21" s="150"/>
      <c r="B21" s="151"/>
      <c r="C21" s="152"/>
      <c r="D21" s="667"/>
      <c r="E21" s="667"/>
      <c r="F21" s="667"/>
      <c r="G21" s="668">
        <f t="shared" si="0"/>
        <v>0</v>
      </c>
      <c r="H21" s="787"/>
      <c r="I21" s="788"/>
      <c r="K21" s="144">
        <f>IFERROR('Reagents and consumables'!$O$2*G21,"")</f>
        <v>0</v>
      </c>
    </row>
    <row r="22" spans="1:11" ht="15" customHeight="1">
      <c r="A22" s="791"/>
      <c r="B22" s="791"/>
      <c r="C22" s="791"/>
      <c r="D22" s="791"/>
      <c r="E22" s="791"/>
      <c r="F22" s="791"/>
      <c r="G22" s="791"/>
      <c r="H22" s="791"/>
      <c r="I22" s="791"/>
      <c r="K22" s="78"/>
    </row>
    <row r="23" spans="1:11">
      <c r="F23" s="677" t="str">
        <f>Language!B168</f>
        <v>Total purchase cost</v>
      </c>
      <c r="G23" s="280">
        <f>SUM(G7:G21)</f>
        <v>156.25</v>
      </c>
      <c r="H23" s="3"/>
    </row>
    <row r="24" spans="1:11">
      <c r="F24" s="676" t="str">
        <f>Language!B169</f>
        <v>Total cost per sample</v>
      </c>
      <c r="G24" s="281">
        <f>G23/('Data entry'!$F$32)</f>
        <v>0.1953125</v>
      </c>
    </row>
    <row r="26" spans="1:11">
      <c r="A26" s="795" t="str">
        <f>Language!B170</f>
        <v>In-house computing</v>
      </c>
      <c r="B26" s="795"/>
      <c r="C26" s="795"/>
      <c r="D26" s="795"/>
      <c r="E26" s="795"/>
      <c r="F26" s="795"/>
      <c r="G26" s="795"/>
      <c r="H26" s="795"/>
      <c r="I26" s="795"/>
    </row>
    <row r="27" spans="1:11" ht="28.8">
      <c r="A27" s="136" t="str">
        <f>Language!B171</f>
        <v>Component </v>
      </c>
      <c r="B27" s="136" t="str">
        <f>Language!B152</f>
        <v>Description </v>
      </c>
      <c r="C27" s="136" t="str">
        <f>Language!B153</f>
        <v>Price per unit (USD)</v>
      </c>
      <c r="D27" s="136" t="str">
        <f>Language!B154</f>
        <v>Quantity of units</v>
      </c>
      <c r="E27" s="136" t="str">
        <f>Language!B90</f>
        <v>Percentage of use for sequencing of selected pathogens</v>
      </c>
      <c r="F27" s="136" t="str">
        <f>Language!B155</f>
        <v>Total cost for the selected pathogens</v>
      </c>
      <c r="G27" s="136" t="str">
        <f>Language!B86</f>
        <v>Recommended lifetime (years)</v>
      </c>
      <c r="H27" s="136" t="str">
        <f>Language!B87</f>
        <v>Age of equipment (new=0)</v>
      </c>
      <c r="I27" s="86" t="str">
        <f>Language!B173</f>
        <v>Depreciation value / year</v>
      </c>
      <c r="K27" s="131" t="str">
        <f>Language!B69</f>
        <v>Local currency (reference only)</v>
      </c>
    </row>
    <row r="28" spans="1:11">
      <c r="A28" s="655" t="str">
        <f>Language!B174</f>
        <v>High-processing server</v>
      </c>
      <c r="B28" s="658" t="str">
        <f>Language!B175</f>
        <v>Server for bioinformatic storage and processing</v>
      </c>
      <c r="C28" s="94"/>
      <c r="D28" s="95"/>
      <c r="E28" s="708"/>
      <c r="F28" s="142">
        <f>C28*D28*E28</f>
        <v>0</v>
      </c>
      <c r="G28" s="650">
        <v>5</v>
      </c>
      <c r="H28" s="108">
        <v>1</v>
      </c>
      <c r="I28" s="76">
        <f>IFERROR(F28/G28,0)</f>
        <v>0</v>
      </c>
      <c r="K28" s="80">
        <f>IFERROR('Reagents and consumables'!$O$2*F28,"")</f>
        <v>0</v>
      </c>
    </row>
    <row r="29" spans="1:11" hidden="1" outlineLevel="1">
      <c r="A29" s="655"/>
      <c r="B29" s="659" t="str">
        <f>Language!B176</f>
        <v>HPE DL380 Gen10 8SFF CTO server (server chassis)</v>
      </c>
      <c r="C29" s="94"/>
      <c r="D29" s="95"/>
      <c r="E29" s="708"/>
      <c r="F29" s="142">
        <f t="shared" ref="F29:F68" si="1">C29*D29*E29</f>
        <v>0</v>
      </c>
      <c r="G29" s="650"/>
      <c r="H29" s="108"/>
      <c r="I29" s="76">
        <f t="shared" ref="I29:I68" si="2">IFERROR(F29/G29,0)</f>
        <v>0</v>
      </c>
      <c r="K29" s="80">
        <f>IFERROR('Reagents and consumables'!$O$2*F29,"")</f>
        <v>0</v>
      </c>
    </row>
    <row r="30" spans="1:11" hidden="1" outlineLevel="1">
      <c r="A30" s="655"/>
      <c r="B30" s="659" t="str">
        <f>Language!B177</f>
        <v>Intel Xeon-Gold 6234 (3.3GHz/8-core/130W) FIO processor kit for HPE ProLiant DL380 Gen10 </v>
      </c>
      <c r="C30" s="94"/>
      <c r="D30" s="95"/>
      <c r="E30" s="708"/>
      <c r="F30" s="142">
        <f t="shared" si="1"/>
        <v>0</v>
      </c>
      <c r="G30" s="650"/>
      <c r="H30" s="108"/>
      <c r="I30" s="76">
        <f t="shared" si="2"/>
        <v>0</v>
      </c>
      <c r="K30" s="80">
        <f>IFERROR('Reagents and consumables'!$O$2*F30,"")</f>
        <v>0</v>
      </c>
    </row>
    <row r="31" spans="1:11" hidden="1" outlineLevel="1">
      <c r="A31" s="655"/>
      <c r="B31" s="659" t="str">
        <f>Language!B178</f>
        <v>HPE 32GB (1x32GB) Dual Rank x4 DDR4-2933 CAS-21-21-21 registered smart memory kit </v>
      </c>
      <c r="C31" s="94"/>
      <c r="D31" s="95"/>
      <c r="E31" s="708"/>
      <c r="F31" s="142">
        <f t="shared" si="1"/>
        <v>0</v>
      </c>
      <c r="G31" s="650"/>
      <c r="H31" s="108"/>
      <c r="I31" s="76">
        <f t="shared" si="2"/>
        <v>0</v>
      </c>
      <c r="K31" s="80">
        <f>IFERROR('Reagents and consumables'!$O$2*F31,"")</f>
        <v>0</v>
      </c>
    </row>
    <row r="32" spans="1:11" hidden="1" outlineLevel="1">
      <c r="A32" s="655"/>
      <c r="B32" s="659" t="str">
        <f>Language!B179</f>
        <v>HPE NS204i-p x2 Lanes NVMe PCIe3 x8 OS Boot Device (boot drives – solid state storage)</v>
      </c>
      <c r="C32" s="94"/>
      <c r="D32" s="95"/>
      <c r="E32" s="708"/>
      <c r="F32" s="142">
        <f t="shared" si="1"/>
        <v>0</v>
      </c>
      <c r="G32" s="650"/>
      <c r="H32" s="108"/>
      <c r="I32" s="76">
        <f t="shared" si="2"/>
        <v>0</v>
      </c>
      <c r="K32" s="80">
        <f>IFERROR('Reagents and consumables'!$O$2*F32,"")</f>
        <v>0</v>
      </c>
    </row>
    <row r="33" spans="1:11" hidden="1" outlineLevel="1">
      <c r="A33" s="655"/>
      <c r="B33" s="659" t="str">
        <f>Language!B180</f>
        <v>NVIDIA A100 40GB PCIe computational accelerator for HPE  (GPU)</v>
      </c>
      <c r="C33" s="94"/>
      <c r="D33" s="95"/>
      <c r="E33" s="708"/>
      <c r="F33" s="142">
        <f t="shared" si="1"/>
        <v>0</v>
      </c>
      <c r="G33" s="650"/>
      <c r="H33" s="108"/>
      <c r="I33" s="76">
        <f t="shared" si="2"/>
        <v>0</v>
      </c>
      <c r="K33" s="80">
        <f>IFERROR('Reagents and consumables'!$O$2*F33,"")</f>
        <v>0</v>
      </c>
    </row>
    <row r="34" spans="1:11" hidden="1" outlineLevel="1">
      <c r="A34" s="655"/>
      <c r="B34" s="659" t="str">
        <f>Language!B181</f>
        <v>HPE Smart Array P408i-a SR Gen10 (8 internal lanes/2GB cache) 12G SAS modular controller </v>
      </c>
      <c r="C34" s="94"/>
      <c r="D34" s="95"/>
      <c r="E34" s="708"/>
      <c r="F34" s="142">
        <f t="shared" si="1"/>
        <v>0</v>
      </c>
      <c r="G34" s="650"/>
      <c r="H34" s="108"/>
      <c r="I34" s="76">
        <f t="shared" si="2"/>
        <v>0</v>
      </c>
      <c r="K34" s="80">
        <f>IFERROR('Reagents and consumables'!$O$2*F34,"")</f>
        <v>0</v>
      </c>
    </row>
    <row r="35" spans="1:11" hidden="1" outlineLevel="1">
      <c r="A35" s="655"/>
      <c r="B35" s="659" t="str">
        <f>Language!B182</f>
        <v>HPE DL Gen10 x16/x16 GPU riser kit </v>
      </c>
      <c r="C35" s="94"/>
      <c r="D35" s="95"/>
      <c r="E35" s="708"/>
      <c r="F35" s="142">
        <f t="shared" si="1"/>
        <v>0</v>
      </c>
      <c r="G35" s="650"/>
      <c r="H35" s="108"/>
      <c r="I35" s="76">
        <f t="shared" si="2"/>
        <v>0</v>
      </c>
      <c r="K35" s="80">
        <f>IFERROR('Reagents and consumables'!$O$2*F35,"")</f>
        <v>0</v>
      </c>
    </row>
    <row r="36" spans="1:11" hidden="1" outlineLevel="1">
      <c r="A36" s="655"/>
      <c r="B36" s="659" t="str">
        <f>Language!B183</f>
        <v>HPE 96W Smart Storage lithium-ion battery with 145mm cable kit (storage battery)</v>
      </c>
      <c r="C36" s="94"/>
      <c r="D36" s="95"/>
      <c r="E36" s="708"/>
      <c r="F36" s="142">
        <f t="shared" si="1"/>
        <v>0</v>
      </c>
      <c r="G36" s="650"/>
      <c r="H36" s="108"/>
      <c r="I36" s="76">
        <f t="shared" si="2"/>
        <v>0</v>
      </c>
      <c r="K36" s="80">
        <f>IFERROR('Reagents and consumables'!$O$2*F36,"")</f>
        <v>0</v>
      </c>
    </row>
    <row r="37" spans="1:11" hidden="1" outlineLevel="1">
      <c r="A37" s="655"/>
      <c r="B37" s="659" t="str">
        <f>Language!B184</f>
        <v>HPE ethernet 10Gb 2-port FLR-SFP+ BCM57414 adapter (networking)</v>
      </c>
      <c r="C37" s="94"/>
      <c r="D37" s="95"/>
      <c r="E37" s="708"/>
      <c r="F37" s="142">
        <f t="shared" si="1"/>
        <v>0</v>
      </c>
      <c r="G37" s="650"/>
      <c r="H37" s="108"/>
      <c r="I37" s="76">
        <f t="shared" si="2"/>
        <v>0</v>
      </c>
      <c r="K37" s="80">
        <f>IFERROR('Reagents and consumables'!$O$2*F37,"")</f>
        <v>0</v>
      </c>
    </row>
    <row r="38" spans="1:11" ht="15" hidden="1" customHeight="1" outlineLevel="1">
      <c r="A38" s="655"/>
      <c r="B38" s="659" t="str">
        <f>Language!B185</f>
        <v>HPE BladeSystem c-Class 10Gb SFP+ SR transceiver (networking)</v>
      </c>
      <c r="C38" s="94"/>
      <c r="D38" s="95"/>
      <c r="E38" s="708"/>
      <c r="F38" s="142">
        <f t="shared" si="1"/>
        <v>0</v>
      </c>
      <c r="G38" s="650"/>
      <c r="H38" s="108"/>
      <c r="I38" s="76">
        <f t="shared" si="2"/>
        <v>0</v>
      </c>
      <c r="K38" s="80">
        <f>IFERROR('Reagents and consumables'!$O$2*F38,"")</f>
        <v>0</v>
      </c>
    </row>
    <row r="39" spans="1:11" ht="15" hidden="1" customHeight="1" outlineLevel="1">
      <c r="A39" s="655"/>
      <c r="B39" s="659" t="str">
        <f>Language!B186</f>
        <v>HPE DL38X Gen10 high performance temperature fan kit  (cooling)</v>
      </c>
      <c r="C39" s="94"/>
      <c r="D39" s="95"/>
      <c r="E39" s="708"/>
      <c r="F39" s="142">
        <f t="shared" si="1"/>
        <v>0</v>
      </c>
      <c r="G39" s="650"/>
      <c r="H39" s="108"/>
      <c r="I39" s="76">
        <f t="shared" si="2"/>
        <v>0</v>
      </c>
      <c r="K39" s="80">
        <f>IFERROR('Reagents and consumables'!$O$2*F39,"")</f>
        <v>0</v>
      </c>
    </row>
    <row r="40" spans="1:11" hidden="1" outlineLevel="1">
      <c r="A40" s="655"/>
      <c r="B40" s="659" t="str">
        <f>Language!B187</f>
        <v>HPE 800W Flex Slot Platinum Hot Plug Low Halogen power supply kit </v>
      </c>
      <c r="C40" s="94"/>
      <c r="D40" s="95"/>
      <c r="E40" s="708"/>
      <c r="F40" s="142">
        <f t="shared" si="1"/>
        <v>0</v>
      </c>
      <c r="G40" s="650"/>
      <c r="H40" s="108"/>
      <c r="I40" s="76">
        <f t="shared" si="2"/>
        <v>0</v>
      </c>
      <c r="K40" s="80">
        <f>IFERROR('Reagents and consumables'!$O$2*F40,"")</f>
        <v>0</v>
      </c>
    </row>
    <row r="41" spans="1:11" ht="15" hidden="1" customHeight="1" outlineLevel="1">
      <c r="A41" s="655"/>
      <c r="B41" s="659" t="str">
        <f>Language!B188</f>
        <v>HPE 2U Large Form Factor Easy Install Rail kit (rack mount)</v>
      </c>
      <c r="C41" s="94"/>
      <c r="D41" s="95"/>
      <c r="E41" s="708"/>
      <c r="F41" s="142">
        <f t="shared" si="1"/>
        <v>0</v>
      </c>
      <c r="G41" s="650"/>
      <c r="H41" s="108"/>
      <c r="I41" s="76">
        <f t="shared" si="2"/>
        <v>0</v>
      </c>
      <c r="K41" s="80">
        <f>IFERROR('Reagents and consumables'!$O$2*F41,"")</f>
        <v>0</v>
      </c>
    </row>
    <row r="42" spans="1:11" hidden="1" outlineLevel="1">
      <c r="A42" s="655"/>
      <c r="B42" s="659" t="str">
        <f>Language!B189</f>
        <v>HPE DL380 Gen10 High Performance Heat Sink kit (cooling)</v>
      </c>
      <c r="C42" s="94"/>
      <c r="D42" s="95"/>
      <c r="E42" s="708"/>
      <c r="F42" s="142">
        <f t="shared" si="1"/>
        <v>0</v>
      </c>
      <c r="G42" s="650"/>
      <c r="H42" s="108"/>
      <c r="I42" s="76">
        <f t="shared" si="2"/>
        <v>0</v>
      </c>
      <c r="K42" s="80">
        <f>IFERROR('Reagents and consumables'!$O$2*F42,"")</f>
        <v>0</v>
      </c>
    </row>
    <row r="43" spans="1:11" collapsed="1">
      <c r="A43" s="655" t="str">
        <f>Language!$B$197</f>
        <v>Low/mid processing workstation</v>
      </c>
      <c r="B43" s="658" t="str">
        <f>Language!$B$198</f>
        <v>Computer workstation for bioinformatic analysis processing and storage</v>
      </c>
      <c r="C43" s="94">
        <v>7028</v>
      </c>
      <c r="D43" s="95">
        <v>1</v>
      </c>
      <c r="E43" s="708">
        <v>1</v>
      </c>
      <c r="F43" s="142">
        <f t="shared" si="1"/>
        <v>7028</v>
      </c>
      <c r="G43" s="650">
        <v>5</v>
      </c>
      <c r="H43" s="95">
        <v>2</v>
      </c>
      <c r="I43" s="76">
        <f t="shared" si="2"/>
        <v>1405.6</v>
      </c>
      <c r="K43" s="80">
        <f>IFERROR('Reagents and consumables'!$O$2*F43,"")</f>
        <v>0</v>
      </c>
    </row>
    <row r="44" spans="1:11" hidden="1" outlineLevel="1">
      <c r="A44" s="655"/>
      <c r="B44" s="659" t="str">
        <f>Language!$B$199</f>
        <v>Intel Xeon processor 6226R 2.9GHz 2933MHz 16C 150W CPU </v>
      </c>
      <c r="C44" s="94"/>
      <c r="D44" s="95"/>
      <c r="E44" s="708"/>
      <c r="F44" s="142">
        <f t="shared" si="1"/>
        <v>0</v>
      </c>
      <c r="G44" s="650"/>
      <c r="H44" s="108"/>
      <c r="I44" s="76">
        <f t="shared" si="2"/>
        <v>0</v>
      </c>
      <c r="K44" s="80">
        <f>IFERROR('Reagents and consumables'!$O$2*F44,"")</f>
        <v>0</v>
      </c>
    </row>
    <row r="45" spans="1:11" hidden="1" outlineLevel="1">
      <c r="A45" s="655"/>
      <c r="B45" s="659" t="str">
        <f>Language!$B$200</f>
        <v>Intel Xeon processor 6226R 2.9GHz 2933MHz 16C 150W CPU </v>
      </c>
      <c r="C45" s="94"/>
      <c r="D45" s="95"/>
      <c r="E45" s="708"/>
      <c r="F45" s="142">
        <f t="shared" si="1"/>
        <v>0</v>
      </c>
      <c r="G45" s="650"/>
      <c r="H45" s="108"/>
      <c r="I45" s="76">
        <f t="shared" si="2"/>
        <v>0</v>
      </c>
      <c r="K45" s="80">
        <f>IFERROR('Reagents and consumables'!$O$2*F45,"")</f>
        <v>0</v>
      </c>
    </row>
    <row r="46" spans="1:11" hidden="1" outlineLevel="1">
      <c r="A46" s="655"/>
      <c r="B46" s="659" t="str">
        <f>Language!$B$201</f>
        <v>Memory drive – 128GB (4x32GB) DDR4 2933 DIMM ECC </v>
      </c>
      <c r="C46" s="94"/>
      <c r="D46" s="95"/>
      <c r="E46" s="708"/>
      <c r="F46" s="142">
        <f t="shared" si="1"/>
        <v>0</v>
      </c>
      <c r="G46" s="650"/>
      <c r="H46" s="108"/>
      <c r="I46" s="76">
        <f t="shared" si="2"/>
        <v>0</v>
      </c>
      <c r="K46" s="80">
        <f>IFERROR('Reagents and consumables'!$O$2*F46,"")</f>
        <v>0</v>
      </c>
    </row>
    <row r="47" spans="1:11" hidden="1" outlineLevel="1">
      <c r="A47" s="655"/>
      <c r="B47" s="659" t="str">
        <f>Language!$B$202</f>
        <v>Storage drives – 8TB 7200RPM SATA 3.5in enterprise </v>
      </c>
      <c r="C47" s="94"/>
      <c r="D47" s="95"/>
      <c r="E47" s="708"/>
      <c r="F47" s="142">
        <f t="shared" si="1"/>
        <v>0</v>
      </c>
      <c r="G47" s="650"/>
      <c r="H47" s="108"/>
      <c r="I47" s="76">
        <f t="shared" si="2"/>
        <v>0</v>
      </c>
      <c r="K47" s="80">
        <f>IFERROR('Reagents and consumables'!$O$2*F47,"")</f>
        <v>0</v>
      </c>
    </row>
    <row r="48" spans="1:11" hidden="1" outlineLevel="1">
      <c r="A48" s="655"/>
      <c r="B48" s="659" t="str">
        <f>Language!$B$203</f>
        <v>Keyboard USB business slim wired keyboard </v>
      </c>
      <c r="C48" s="94"/>
      <c r="D48" s="95"/>
      <c r="E48" s="708"/>
      <c r="F48" s="142">
        <f t="shared" si="1"/>
        <v>0</v>
      </c>
      <c r="G48" s="650"/>
      <c r="H48" s="108"/>
      <c r="I48" s="76">
        <f t="shared" si="2"/>
        <v>0</v>
      </c>
      <c r="K48" s="80">
        <f>IFERROR('Reagents and consumables'!$O$2*F48,"")</f>
        <v>0</v>
      </c>
    </row>
    <row r="49" spans="1:11" hidden="1" outlineLevel="1">
      <c r="A49" s="655"/>
      <c r="B49" s="659" t="str">
        <f>Language!$B$204</f>
        <v>HP optical wired mouse USB </v>
      </c>
      <c r="C49" s="94"/>
      <c r="D49" s="95"/>
      <c r="E49" s="708"/>
      <c r="F49" s="142">
        <f t="shared" si="1"/>
        <v>0</v>
      </c>
      <c r="G49" s="650"/>
      <c r="H49" s="108"/>
      <c r="I49" s="76">
        <f t="shared" si="2"/>
        <v>0</v>
      </c>
      <c r="K49" s="80">
        <f>IFERROR('Reagents and consumables'!$O$2*F49,"")</f>
        <v>0</v>
      </c>
    </row>
    <row r="50" spans="1:11" hidden="1" outlineLevel="1">
      <c r="A50" s="655"/>
      <c r="B50" s="659" t="str">
        <f>Language!$B$205</f>
        <v>9.5mm DVD-writer 1st ODD </v>
      </c>
      <c r="C50" s="94"/>
      <c r="D50" s="95"/>
      <c r="E50" s="708"/>
      <c r="F50" s="142">
        <f t="shared" si="1"/>
        <v>0</v>
      </c>
      <c r="G50" s="650"/>
      <c r="H50" s="108"/>
      <c r="I50" s="76">
        <f t="shared" si="2"/>
        <v>0</v>
      </c>
      <c r="K50" s="80">
        <f>IFERROR('Reagents and consumables'!$O$2*F50,"")</f>
        <v>0</v>
      </c>
    </row>
    <row r="51" spans="1:11" hidden="1" outlineLevel="1">
      <c r="A51" s="655"/>
      <c r="B51" s="659" t="str">
        <f>Language!$B$206</f>
        <v>HP SD card reader </v>
      </c>
      <c r="C51" s="94"/>
      <c r="D51" s="95"/>
      <c r="E51" s="708"/>
      <c r="F51" s="142">
        <f t="shared" si="1"/>
        <v>0</v>
      </c>
      <c r="G51" s="650"/>
      <c r="H51" s="108"/>
      <c r="I51" s="76">
        <f t="shared" si="2"/>
        <v>0</v>
      </c>
      <c r="K51" s="80">
        <f>IFERROR('Reagents and consumables'!$O$2*F51,"")</f>
        <v>0</v>
      </c>
    </row>
    <row r="52" spans="1:11" hidden="1" outlineLevel="1">
      <c r="A52" s="655"/>
      <c r="B52" s="659" t="str">
        <f>Language!$B$207</f>
        <v>HP Z6 G4 memory cooling solution </v>
      </c>
      <c r="C52" s="94"/>
      <c r="D52" s="95"/>
      <c r="E52" s="708"/>
      <c r="F52" s="142">
        <f t="shared" si="1"/>
        <v>0</v>
      </c>
      <c r="G52" s="650"/>
      <c r="H52" s="108"/>
      <c r="I52" s="76">
        <f t="shared" si="2"/>
        <v>0</v>
      </c>
      <c r="K52" s="80">
        <f>IFERROR('Reagents and consumables'!$O$2*F52,"")</f>
        <v>0</v>
      </c>
    </row>
    <row r="53" spans="1:11" collapsed="1">
      <c r="A53" s="655" t="str">
        <f>Language!$B$211</f>
        <v>NAS </v>
      </c>
      <c r="B53" s="655" t="str">
        <f>Language!$B$208</f>
        <v>NAS drive – 64TB for storage</v>
      </c>
      <c r="C53" s="94">
        <v>3380</v>
      </c>
      <c r="D53" s="95">
        <v>1</v>
      </c>
      <c r="E53" s="708">
        <v>1</v>
      </c>
      <c r="F53" s="142">
        <f t="shared" si="1"/>
        <v>3380</v>
      </c>
      <c r="G53" s="650">
        <v>2</v>
      </c>
      <c r="H53" s="108">
        <v>1</v>
      </c>
      <c r="I53" s="76">
        <f t="shared" si="2"/>
        <v>1690</v>
      </c>
      <c r="K53" s="80">
        <f>IFERROR('Reagents and consumables'!$O$2*F53,"")</f>
        <v>0</v>
      </c>
    </row>
    <row r="54" spans="1:11">
      <c r="A54" s="655" t="str">
        <f>Language!$B$212</f>
        <v>Monitor</v>
      </c>
      <c r="B54" s="655" t="str">
        <f>Language!$B$209</f>
        <v>Monitor for bioinformatic analysis</v>
      </c>
      <c r="C54" s="94">
        <v>150</v>
      </c>
      <c r="D54" s="95">
        <v>1</v>
      </c>
      <c r="E54" s="708">
        <v>1</v>
      </c>
      <c r="F54" s="142">
        <f t="shared" si="1"/>
        <v>150</v>
      </c>
      <c r="G54" s="650">
        <v>2</v>
      </c>
      <c r="H54" s="95">
        <v>1</v>
      </c>
      <c r="I54" s="76">
        <f t="shared" si="2"/>
        <v>75</v>
      </c>
      <c r="K54" s="80">
        <f>IFERROR('Reagents and consumables'!$O$2*F54,"")</f>
        <v>0</v>
      </c>
    </row>
    <row r="55" spans="1:11">
      <c r="A55" s="655" t="str">
        <f>Language!$B$213</f>
        <v>External HDD </v>
      </c>
      <c r="B55" s="655" t="str">
        <f>Language!$B$210</f>
        <v>External HDD – 1TB for storage</v>
      </c>
      <c r="C55" s="94">
        <v>52</v>
      </c>
      <c r="D55" s="95">
        <v>1</v>
      </c>
      <c r="E55" s="708">
        <v>0.5</v>
      </c>
      <c r="F55" s="142">
        <f t="shared" si="1"/>
        <v>26</v>
      </c>
      <c r="G55" s="650">
        <v>2</v>
      </c>
      <c r="H55" s="95">
        <v>1</v>
      </c>
      <c r="I55" s="76">
        <f t="shared" si="2"/>
        <v>13</v>
      </c>
      <c r="K55" s="80">
        <f>IFERROR('Reagents and consumables'!$O$2*F55,"")</f>
        <v>0</v>
      </c>
    </row>
    <row r="56" spans="1:11">
      <c r="A56" s="658" t="str">
        <f>Language!B193</f>
        <v>Server maintenance</v>
      </c>
      <c r="B56" s="660" t="str">
        <f>Language!B191</f>
        <v>Server including maintenance fees</v>
      </c>
      <c r="C56" s="94"/>
      <c r="D56" s="95"/>
      <c r="E56" s="708"/>
      <c r="F56" s="142">
        <f t="shared" si="1"/>
        <v>0</v>
      </c>
      <c r="G56" s="657">
        <v>2</v>
      </c>
      <c r="H56" s="108">
        <v>1</v>
      </c>
      <c r="I56" s="76">
        <f t="shared" si="2"/>
        <v>0</v>
      </c>
      <c r="K56" s="80">
        <f>IFERROR('Reagents and consumables'!$O$2*F56,"")</f>
        <v>0</v>
      </c>
    </row>
    <row r="57" spans="1:11">
      <c r="A57" s="154"/>
      <c r="B57" s="154"/>
      <c r="C57" s="94"/>
      <c r="D57" s="95"/>
      <c r="E57" s="708"/>
      <c r="F57" s="142">
        <f t="shared" si="1"/>
        <v>0</v>
      </c>
      <c r="G57" s="108"/>
      <c r="H57" s="108"/>
      <c r="I57" s="76">
        <f t="shared" si="2"/>
        <v>0</v>
      </c>
      <c r="K57" s="80">
        <f>IFERROR('Reagents and consumables'!$O$2*F57,"")</f>
        <v>0</v>
      </c>
    </row>
    <row r="58" spans="1:11">
      <c r="A58" s="154"/>
      <c r="B58" s="154"/>
      <c r="C58" s="94"/>
      <c r="D58" s="95"/>
      <c r="E58" s="708"/>
      <c r="F58" s="142">
        <f t="shared" si="1"/>
        <v>0</v>
      </c>
      <c r="G58" s="108"/>
      <c r="H58" s="108"/>
      <c r="I58" s="76">
        <f t="shared" si="2"/>
        <v>0</v>
      </c>
      <c r="K58" s="80">
        <f>IFERROR('Reagents and consumables'!$O$2*F58,"")</f>
        <v>0</v>
      </c>
    </row>
    <row r="59" spans="1:11">
      <c r="A59" s="154"/>
      <c r="B59" s="154"/>
      <c r="C59" s="94"/>
      <c r="D59" s="95"/>
      <c r="E59" s="708"/>
      <c r="F59" s="142">
        <f t="shared" si="1"/>
        <v>0</v>
      </c>
      <c r="G59" s="108"/>
      <c r="H59" s="108"/>
      <c r="I59" s="76">
        <f t="shared" si="2"/>
        <v>0</v>
      </c>
      <c r="K59" s="80">
        <f>IFERROR('Reagents and consumables'!$O$2*F59,"")</f>
        <v>0</v>
      </c>
    </row>
    <row r="60" spans="1:11">
      <c r="A60" s="154"/>
      <c r="B60" s="154"/>
      <c r="C60" s="94"/>
      <c r="D60" s="95"/>
      <c r="E60" s="708"/>
      <c r="F60" s="142">
        <f t="shared" si="1"/>
        <v>0</v>
      </c>
      <c r="G60" s="108"/>
      <c r="H60" s="108"/>
      <c r="I60" s="76">
        <f t="shared" si="2"/>
        <v>0</v>
      </c>
      <c r="K60" s="80">
        <f>IFERROR('Reagents and consumables'!$O$2*F60,"")</f>
        <v>0</v>
      </c>
    </row>
    <row r="61" spans="1:11">
      <c r="A61" s="154"/>
      <c r="B61" s="154"/>
      <c r="C61" s="94"/>
      <c r="D61" s="95"/>
      <c r="E61" s="708"/>
      <c r="F61" s="142">
        <f t="shared" si="1"/>
        <v>0</v>
      </c>
      <c r="G61" s="108"/>
      <c r="H61" s="108"/>
      <c r="I61" s="76">
        <f t="shared" si="2"/>
        <v>0</v>
      </c>
      <c r="K61" s="80">
        <f>IFERROR('Reagents and consumables'!$O$2*F61,"")</f>
        <v>0</v>
      </c>
    </row>
    <row r="62" spans="1:11">
      <c r="A62" s="154"/>
      <c r="B62" s="154"/>
      <c r="C62" s="94"/>
      <c r="D62" s="95"/>
      <c r="E62" s="708"/>
      <c r="F62" s="142">
        <f t="shared" si="1"/>
        <v>0</v>
      </c>
      <c r="G62" s="108"/>
      <c r="H62" s="108"/>
      <c r="I62" s="76">
        <f t="shared" si="2"/>
        <v>0</v>
      </c>
      <c r="K62" s="80">
        <f>IFERROR('Reagents and consumables'!$O$2*F62,"")</f>
        <v>0</v>
      </c>
    </row>
    <row r="63" spans="1:11">
      <c r="A63" s="154"/>
      <c r="B63" s="154"/>
      <c r="C63" s="94"/>
      <c r="D63" s="95"/>
      <c r="E63" s="708"/>
      <c r="F63" s="142">
        <f t="shared" si="1"/>
        <v>0</v>
      </c>
      <c r="G63" s="108"/>
      <c r="H63" s="108"/>
      <c r="I63" s="76">
        <f t="shared" si="2"/>
        <v>0</v>
      </c>
      <c r="K63" s="80">
        <f>IFERROR('Reagents and consumables'!$O$2*F63,"")</f>
        <v>0</v>
      </c>
    </row>
    <row r="64" spans="1:11">
      <c r="A64" s="154"/>
      <c r="B64" s="154"/>
      <c r="C64" s="94"/>
      <c r="D64" s="95"/>
      <c r="E64" s="708"/>
      <c r="F64" s="142">
        <f t="shared" si="1"/>
        <v>0</v>
      </c>
      <c r="G64" s="108"/>
      <c r="H64" s="108"/>
      <c r="I64" s="76">
        <f t="shared" si="2"/>
        <v>0</v>
      </c>
      <c r="K64" s="80">
        <f>IFERROR('Reagents and consumables'!$O$2*F64,"")</f>
        <v>0</v>
      </c>
    </row>
    <row r="65" spans="1:11">
      <c r="A65" s="154"/>
      <c r="B65" s="154"/>
      <c r="C65" s="94"/>
      <c r="D65" s="95"/>
      <c r="E65" s="708"/>
      <c r="F65" s="142">
        <f t="shared" si="1"/>
        <v>0</v>
      </c>
      <c r="G65" s="108"/>
      <c r="H65" s="108"/>
      <c r="I65" s="76">
        <f t="shared" si="2"/>
        <v>0</v>
      </c>
      <c r="K65" s="80">
        <f>IFERROR('Reagents and consumables'!$O$2*F65,"")</f>
        <v>0</v>
      </c>
    </row>
    <row r="66" spans="1:11">
      <c r="A66" s="154"/>
      <c r="B66" s="154"/>
      <c r="C66" s="94"/>
      <c r="D66" s="95"/>
      <c r="E66" s="708"/>
      <c r="F66" s="142">
        <f t="shared" si="1"/>
        <v>0</v>
      </c>
      <c r="G66" s="108"/>
      <c r="H66" s="108"/>
      <c r="I66" s="76">
        <f t="shared" si="2"/>
        <v>0</v>
      </c>
      <c r="K66" s="80">
        <f>IFERROR('Reagents and consumables'!$O$2*F66,"")</f>
        <v>0</v>
      </c>
    </row>
    <row r="67" spans="1:11">
      <c r="A67" s="155"/>
      <c r="B67" s="154"/>
      <c r="C67" s="94"/>
      <c r="D67" s="95"/>
      <c r="E67" s="708"/>
      <c r="F67" s="142">
        <f t="shared" si="1"/>
        <v>0</v>
      </c>
      <c r="G67" s="108"/>
      <c r="H67" s="108"/>
      <c r="I67" s="76">
        <f t="shared" si="2"/>
        <v>0</v>
      </c>
      <c r="K67" s="80">
        <f>IFERROR('Reagents and consumables'!$O$2*F67,"")</f>
        <v>0</v>
      </c>
    </row>
    <row r="68" spans="1:11">
      <c r="A68" s="156"/>
      <c r="B68" s="157"/>
      <c r="C68" s="152"/>
      <c r="D68" s="98"/>
      <c r="E68" s="712"/>
      <c r="F68" s="142">
        <f t="shared" si="1"/>
        <v>0</v>
      </c>
      <c r="G68" s="146"/>
      <c r="H68" s="146"/>
      <c r="I68" s="76">
        <f t="shared" si="2"/>
        <v>0</v>
      </c>
      <c r="K68" s="80">
        <f>IFERROR('Reagents and consumables'!$O$2*F68,"")</f>
        <v>0</v>
      </c>
    </row>
    <row r="69" spans="1:11" ht="15" customHeight="1">
      <c r="A69" s="792"/>
      <c r="B69" s="792"/>
      <c r="C69" s="792"/>
      <c r="D69" s="792"/>
      <c r="E69" s="792"/>
      <c r="F69" s="792"/>
      <c r="G69" s="792"/>
      <c r="H69" s="792"/>
      <c r="I69" s="793"/>
      <c r="K69" s="78"/>
    </row>
    <row r="70" spans="1:11">
      <c r="E70" s="135" t="str">
        <f>Language!B168</f>
        <v>Total purchase cost</v>
      </c>
      <c r="F70" s="53">
        <f>SUM(F28:F68)</f>
        <v>10584</v>
      </c>
      <c r="H70" s="686" t="str">
        <f>Language!B195</f>
        <v xml:space="preserve">Depreciation cost </v>
      </c>
      <c r="I70" s="53">
        <f>SUM(I28:I68)</f>
        <v>3183.6</v>
      </c>
    </row>
    <row r="71" spans="1:11">
      <c r="E71" s="137" t="str">
        <f>Language!B169</f>
        <v>Total cost per sample</v>
      </c>
      <c r="F71" s="718">
        <f>I70/('Data entry'!$F$32)</f>
        <v>3.9794999999999998</v>
      </c>
      <c r="G71" s="99"/>
      <c r="H71" s="99"/>
    </row>
    <row r="73" spans="1:11">
      <c r="A73" s="687" t="str">
        <f>Language!B215</f>
        <v>Hybrid, in-house and cloud-based</v>
      </c>
      <c r="B73" s="6" t="str">
        <f>Language!B216</f>
        <v>&lt;-- for users with a combination from options above</v>
      </c>
    </row>
    <row r="74" spans="1:11">
      <c r="B74" s="138" t="str">
        <f>Language!B221</f>
        <v>Cloud-based</v>
      </c>
    </row>
    <row r="75" spans="1:11">
      <c r="A75" s="688" t="str">
        <f>Language!B168</f>
        <v>Total purchase cost</v>
      </c>
      <c r="B75" s="53">
        <f>G23</f>
        <v>156.25</v>
      </c>
    </row>
    <row r="76" spans="1:11">
      <c r="A76" s="688" t="str">
        <f>Language!B169</f>
        <v>Total cost per sample</v>
      </c>
      <c r="B76" s="54">
        <f>G24</f>
        <v>0.1953125</v>
      </c>
    </row>
    <row r="77" spans="1:11">
      <c r="A77" s="13"/>
      <c r="B77" s="13"/>
    </row>
    <row r="78" spans="1:11">
      <c r="B78" s="138" t="str">
        <f>Language!B222</f>
        <v>In-house</v>
      </c>
    </row>
    <row r="79" spans="1:11">
      <c r="A79" s="688" t="str">
        <f>Language!B168</f>
        <v>Total purchase cost</v>
      </c>
      <c r="B79" s="53">
        <f>F70</f>
        <v>10584</v>
      </c>
    </row>
    <row r="80" spans="1:11">
      <c r="A80" s="688" t="str">
        <f>Language!B217</f>
        <v>Total depreciation cost</v>
      </c>
      <c r="B80" s="53">
        <f>I70</f>
        <v>3183.6</v>
      </c>
    </row>
    <row r="81" spans="1:2">
      <c r="A81" s="688" t="str">
        <f>Language!B169</f>
        <v>Total cost per sample</v>
      </c>
      <c r="B81" s="54">
        <f>F71</f>
        <v>3.9794999999999998</v>
      </c>
    </row>
    <row r="83" spans="1:2">
      <c r="A83" s="138" t="str">
        <f>Language!B218</f>
        <v>Total hybrid purchase cost</v>
      </c>
      <c r="B83" s="53">
        <f>B75+B79</f>
        <v>10740.25</v>
      </c>
    </row>
    <row r="84" spans="1:2" ht="33" customHeight="1">
      <c r="A84" s="138" t="str">
        <f>Language!B219</f>
        <v>Total hybrid operational cost (cloud purchase + depreciation)</v>
      </c>
      <c r="B84" s="53">
        <f>B75+B80</f>
        <v>3339.85</v>
      </c>
    </row>
    <row r="85" spans="1:2">
      <c r="A85" s="138" t="str">
        <f>Language!B220</f>
        <v>Total hybrid cost per sample</v>
      </c>
      <c r="B85" s="54">
        <f>B84/('Data entry'!$F$32)</f>
        <v>4.1748124999999998</v>
      </c>
    </row>
  </sheetData>
  <sheetProtection algorithmName="SHA-512" hashValue="SJCYYcU7SDkxxkN/ofQmiunfYryZ79S0dTtwuWf3snHhMJZXv5PEee7IUP/1zGJn2wHKST/AAr8/SmnmHUN5MQ==" saltValue="oyVVTBe7qe8U0L8RZj7FOQ==" spinCount="100000" sheet="1" formatColumns="0" formatRows="0" sort="0"/>
  <mergeCells count="22">
    <mergeCell ref="H21:I21"/>
    <mergeCell ref="A2:I2"/>
    <mergeCell ref="A3:I3"/>
    <mergeCell ref="A22:I22"/>
    <mergeCell ref="A69:I69"/>
    <mergeCell ref="A5:I5"/>
    <mergeCell ref="A26:I26"/>
    <mergeCell ref="H16:I16"/>
    <mergeCell ref="H17:I17"/>
    <mergeCell ref="H18:I18"/>
    <mergeCell ref="H19:I19"/>
    <mergeCell ref="H20:I20"/>
    <mergeCell ref="H6:I6"/>
    <mergeCell ref="H7:I7"/>
    <mergeCell ref="H8:I8"/>
    <mergeCell ref="H9:I9"/>
    <mergeCell ref="H15:I15"/>
    <mergeCell ref="H10:I10"/>
    <mergeCell ref="H11:I11"/>
    <mergeCell ref="H12:I12"/>
    <mergeCell ref="H13:I13"/>
    <mergeCell ref="H14:I14"/>
  </mergeCells>
  <phoneticPr fontId="4" type="noConversion"/>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7810-9D4D-40E1-8B91-FD8C15991615}">
  <dimension ref="B2:K25"/>
  <sheetViews>
    <sheetView zoomScale="120" zoomScaleNormal="120" workbookViewId="0">
      <selection activeCell="E11" sqref="E11"/>
    </sheetView>
  </sheetViews>
  <sheetFormatPr defaultColWidth="8.41796875" defaultRowHeight="14.4"/>
  <cols>
    <col min="2" max="2" width="33.41796875" customWidth="1"/>
    <col min="3" max="3" width="13.41796875" customWidth="1"/>
    <col min="4" max="4" width="18.41796875" bestFit="1" customWidth="1"/>
    <col min="5" max="5" width="18.41796875" customWidth="1"/>
    <col min="6" max="6" width="20.26171875" customWidth="1"/>
    <col min="7" max="7" width="30.41796875" customWidth="1"/>
    <col min="8" max="8" width="35.15625" customWidth="1"/>
    <col min="11" max="11" width="29.83984375" style="75" customWidth="1"/>
  </cols>
  <sheetData>
    <row r="2" spans="2:11">
      <c r="B2" s="802" t="str">
        <f>Language!B230</f>
        <v>Quality management</v>
      </c>
      <c r="C2" s="802"/>
      <c r="D2" s="802"/>
      <c r="E2" s="802"/>
      <c r="F2" s="802"/>
      <c r="G2" s="802"/>
      <c r="H2" s="802"/>
    </row>
    <row r="3" spans="2:11" ht="43.2">
      <c r="B3" s="141" t="str">
        <f>Language!B231</f>
        <v>Quality management activity</v>
      </c>
      <c r="C3" s="118" t="str">
        <f>Language!B232</f>
        <v>Cost</v>
      </c>
      <c r="D3" s="118" t="str">
        <f>Language!B233</f>
        <v xml:space="preserve">Quantity </v>
      </c>
      <c r="E3" s="118" t="str">
        <f>Language!B90</f>
        <v>Percentage of use for sequencing of selected pathogens</v>
      </c>
      <c r="F3" s="118" t="str">
        <f>Language!B234</f>
        <v>Annual activity cost</v>
      </c>
      <c r="G3" s="118" t="str">
        <f>Language!B235</f>
        <v>Annual activity cost per sample</v>
      </c>
      <c r="H3" s="118" t="str">
        <f>Language!B236</f>
        <v>Comments</v>
      </c>
      <c r="K3" s="139" t="str">
        <f>Language!B69</f>
        <v>Local currency (reference only)</v>
      </c>
    </row>
    <row r="4" spans="2:11" hidden="1">
      <c r="B4" s="44" t="s">
        <v>36</v>
      </c>
      <c r="C4" s="45" t="s">
        <v>37</v>
      </c>
      <c r="D4" s="46" t="s">
        <v>38</v>
      </c>
      <c r="E4" s="46" t="s">
        <v>14</v>
      </c>
      <c r="F4" s="46" t="s">
        <v>39</v>
      </c>
      <c r="G4" s="47" t="s">
        <v>40</v>
      </c>
      <c r="H4" s="52" t="s">
        <v>41</v>
      </c>
      <c r="I4" s="38"/>
      <c r="K4" s="77" t="s">
        <v>2</v>
      </c>
    </row>
    <row r="5" spans="2:11">
      <c r="B5" s="661" t="str">
        <f>Language!B237</f>
        <v>ISO 15189 accreditation</v>
      </c>
      <c r="C5" s="662">
        <v>4000</v>
      </c>
      <c r="D5" s="663">
        <v>1</v>
      </c>
      <c r="E5" s="710"/>
      <c r="F5" s="53">
        <f t="shared" ref="F5:F20" si="0">C5*D5*E5</f>
        <v>0</v>
      </c>
      <c r="G5" s="54">
        <f>IFERROR(F5/('Data entry'!$F$32),0)</f>
        <v>0</v>
      </c>
      <c r="H5" s="109"/>
      <c r="K5" s="74">
        <f>IFERROR('Reagents and consumables'!$O$2*F5,"")</f>
        <v>0</v>
      </c>
    </row>
    <row r="6" spans="2:11">
      <c r="B6" s="661" t="str">
        <f>Language!B238</f>
        <v>External quality assessment – PCR</v>
      </c>
      <c r="C6" s="662">
        <v>900</v>
      </c>
      <c r="D6" s="663">
        <v>1</v>
      </c>
      <c r="E6" s="710"/>
      <c r="F6" s="53">
        <f t="shared" si="0"/>
        <v>0</v>
      </c>
      <c r="G6" s="54">
        <f>IFERROR(F6/('Data entry'!$F$32),0)</f>
        <v>0</v>
      </c>
      <c r="H6" s="109"/>
      <c r="K6" s="74">
        <f>IFERROR('Reagents and consumables'!$O$2*F6,"")</f>
        <v>0</v>
      </c>
    </row>
    <row r="7" spans="2:11">
      <c r="B7" s="661" t="str">
        <f>Language!B239</f>
        <v>External quality assessment – NGS</v>
      </c>
      <c r="C7" s="662">
        <v>2300</v>
      </c>
      <c r="D7" s="663">
        <v>1</v>
      </c>
      <c r="E7" s="710"/>
      <c r="F7" s="53">
        <f t="shared" si="0"/>
        <v>0</v>
      </c>
      <c r="G7" s="54">
        <f>IFERROR(F7/('Data entry'!$F$32),0)</f>
        <v>0</v>
      </c>
      <c r="H7" s="661" t="str">
        <f>Language!B241</f>
        <v>Quarterly distribution, including logistics</v>
      </c>
      <c r="K7" s="74">
        <f>IFERROR('Reagents and consumables'!$O$2*F7,"")</f>
        <v>0</v>
      </c>
    </row>
    <row r="8" spans="2:11" ht="28.8">
      <c r="B8" s="661" t="str">
        <f>Language!B240</f>
        <v>Annual BSC certification</v>
      </c>
      <c r="C8" s="91">
        <v>300</v>
      </c>
      <c r="D8" s="107">
        <v>1</v>
      </c>
      <c r="E8" s="710">
        <v>0.5</v>
      </c>
      <c r="F8" s="53">
        <f t="shared" si="0"/>
        <v>150</v>
      </c>
      <c r="G8" s="54">
        <f>IFERROR(F8/('Data entry'!$F$32),0)</f>
        <v>0.1875</v>
      </c>
      <c r="H8" s="661" t="str">
        <f>Language!B329</f>
        <v>Cost per BSC, including travel costs for the engineer</v>
      </c>
      <c r="K8" s="74">
        <f>IFERROR('Reagents and consumables'!$O$2*F8,"")</f>
        <v>0</v>
      </c>
    </row>
    <row r="9" spans="2:11" ht="47.25" customHeight="1">
      <c r="B9" s="661" t="str">
        <f>Language!B371</f>
        <v>Reference material: ATCC, Zeptometrix, Biohub, NCPV, NCTC, etc.</v>
      </c>
      <c r="C9" s="91"/>
      <c r="D9" s="107"/>
      <c r="E9" s="710"/>
      <c r="F9" s="53">
        <f t="shared" si="0"/>
        <v>0</v>
      </c>
      <c r="G9" s="54">
        <f>IFERROR(F9/('Data entry'!$F$32),0)</f>
        <v>0</v>
      </c>
      <c r="H9" s="109"/>
      <c r="K9" s="74">
        <f>IFERROR('Reagents and consumables'!$O$2*F9,"")</f>
        <v>0</v>
      </c>
    </row>
    <row r="10" spans="2:11">
      <c r="B10" s="661" t="str">
        <f>Language!B372</f>
        <v>Internal quality control material</v>
      </c>
      <c r="C10" s="91">
        <v>200</v>
      </c>
      <c r="D10" s="107">
        <v>2</v>
      </c>
      <c r="E10" s="710">
        <v>0.1</v>
      </c>
      <c r="F10" s="53">
        <f t="shared" si="0"/>
        <v>40</v>
      </c>
      <c r="G10" s="54">
        <f>IFERROR(F10/('Data entry'!$F$32),0)</f>
        <v>0.05</v>
      </c>
      <c r="H10" s="109"/>
      <c r="K10" s="74">
        <f>IFERROR('Reagents and consumables'!$O$2*F10,"")</f>
        <v>0</v>
      </c>
    </row>
    <row r="11" spans="2:11" ht="45" customHeight="1">
      <c r="B11" s="661" t="str">
        <f>Language!B373</f>
        <v>Bioinformatics pipeline validation service (e.g. PHA4GE)</v>
      </c>
      <c r="C11" s="91"/>
      <c r="D11" s="107"/>
      <c r="E11" s="710"/>
      <c r="F11" s="53">
        <f t="shared" si="0"/>
        <v>0</v>
      </c>
      <c r="G11" s="54">
        <f>IFERROR(F11/('Data entry'!$F$32),0)</f>
        <v>0</v>
      </c>
      <c r="H11" s="109"/>
      <c r="K11" s="74">
        <f>IFERROR('Reagents and consumables'!$O$2*F11,"")</f>
        <v>0</v>
      </c>
    </row>
    <row r="12" spans="2:11">
      <c r="B12" s="270"/>
      <c r="C12" s="91"/>
      <c r="D12" s="107"/>
      <c r="E12" s="710"/>
      <c r="F12" s="53">
        <f t="shared" si="0"/>
        <v>0</v>
      </c>
      <c r="G12" s="54">
        <f>IFERROR(F12/('Data entry'!$F$32),0)</f>
        <v>0</v>
      </c>
      <c r="H12" s="109"/>
      <c r="K12" s="74">
        <f>IFERROR('Reagents and consumables'!$O$2*F12,"")</f>
        <v>0</v>
      </c>
    </row>
    <row r="13" spans="2:11">
      <c r="B13" s="109"/>
      <c r="C13" s="91"/>
      <c r="D13" s="107"/>
      <c r="E13" s="710"/>
      <c r="F13" s="53">
        <f t="shared" si="0"/>
        <v>0</v>
      </c>
      <c r="G13" s="54">
        <f>IFERROR(F13/('Data entry'!$F$32),0)</f>
        <v>0</v>
      </c>
      <c r="H13" s="109"/>
      <c r="K13" s="74">
        <f>IFERROR('Reagents and consumables'!$O$2*F13,"")</f>
        <v>0</v>
      </c>
    </row>
    <row r="14" spans="2:11">
      <c r="B14" s="109"/>
      <c r="C14" s="91"/>
      <c r="D14" s="107"/>
      <c r="E14" s="710"/>
      <c r="F14" s="53">
        <f t="shared" si="0"/>
        <v>0</v>
      </c>
      <c r="G14" s="54">
        <f>IFERROR(F14/('Data entry'!$F$32),0)</f>
        <v>0</v>
      </c>
      <c r="H14" s="109"/>
      <c r="K14" s="74">
        <f>IFERROR('Reagents and consumables'!$O$2*F14,"")</f>
        <v>0</v>
      </c>
    </row>
    <row r="15" spans="2:11">
      <c r="B15" s="109"/>
      <c r="C15" s="91"/>
      <c r="D15" s="107"/>
      <c r="E15" s="710"/>
      <c r="F15" s="53">
        <f t="shared" si="0"/>
        <v>0</v>
      </c>
      <c r="G15" s="54">
        <f>IFERROR(F15/('Data entry'!$F$32),0)</f>
        <v>0</v>
      </c>
      <c r="H15" s="109"/>
      <c r="K15" s="74">
        <f>IFERROR('Reagents and consumables'!$O$2*F15,"")</f>
        <v>0</v>
      </c>
    </row>
    <row r="16" spans="2:11">
      <c r="B16" s="109"/>
      <c r="C16" s="91"/>
      <c r="D16" s="107"/>
      <c r="E16" s="710"/>
      <c r="F16" s="53">
        <f t="shared" si="0"/>
        <v>0</v>
      </c>
      <c r="G16" s="54">
        <f>IFERROR(F16/('Data entry'!$F$32),0)</f>
        <v>0</v>
      </c>
      <c r="H16" s="109"/>
      <c r="K16" s="74">
        <f>IFERROR('Reagents and consumables'!$O$2*F16,"")</f>
        <v>0</v>
      </c>
    </row>
    <row r="17" spans="2:11">
      <c r="B17" s="109"/>
      <c r="C17" s="91"/>
      <c r="D17" s="107"/>
      <c r="E17" s="710"/>
      <c r="F17" s="53">
        <f t="shared" si="0"/>
        <v>0</v>
      </c>
      <c r="G17" s="54">
        <f>IFERROR(F17/('Data entry'!$F$32),0)</f>
        <v>0</v>
      </c>
      <c r="H17" s="109"/>
      <c r="K17" s="74">
        <f>IFERROR('Reagents and consumables'!$O$2*F17,"")</f>
        <v>0</v>
      </c>
    </row>
    <row r="18" spans="2:11">
      <c r="B18" s="109"/>
      <c r="C18" s="91"/>
      <c r="D18" s="107"/>
      <c r="E18" s="710"/>
      <c r="F18" s="53">
        <f t="shared" si="0"/>
        <v>0</v>
      </c>
      <c r="G18" s="54">
        <f>IFERROR(F18/('Data entry'!$F$32),0)</f>
        <v>0</v>
      </c>
      <c r="H18" s="109"/>
      <c r="K18" s="74">
        <f>IFERROR('Reagents and consumables'!$O$2*F18,"")</f>
        <v>0</v>
      </c>
    </row>
    <row r="19" spans="2:11">
      <c r="B19" s="109"/>
      <c r="C19" s="91"/>
      <c r="D19" s="107"/>
      <c r="E19" s="710"/>
      <c r="F19" s="53">
        <f t="shared" si="0"/>
        <v>0</v>
      </c>
      <c r="G19" s="54">
        <f>IFERROR(F19/('Data entry'!$F$32),0)</f>
        <v>0</v>
      </c>
      <c r="H19" s="109"/>
      <c r="K19" s="74">
        <f>IFERROR('Reagents and consumables'!$O$2*F19,"")</f>
        <v>0</v>
      </c>
    </row>
    <row r="20" spans="2:11">
      <c r="B20" s="140"/>
      <c r="C20" s="92"/>
      <c r="D20" s="107"/>
      <c r="E20" s="710"/>
      <c r="F20" s="76">
        <f t="shared" si="0"/>
        <v>0</v>
      </c>
      <c r="G20" s="54">
        <f>IFERROR(F20/('Data entry'!$F$32),0)</f>
        <v>0</v>
      </c>
      <c r="H20" s="140"/>
      <c r="K20" s="74">
        <f>IFERROR('Reagents and consumables'!$O$2*F20,"")</f>
        <v>0</v>
      </c>
    </row>
    <row r="21" spans="2:11">
      <c r="B21" s="803"/>
      <c r="C21" s="803"/>
      <c r="D21" s="803"/>
      <c r="E21" s="803"/>
      <c r="F21" s="803"/>
      <c r="G21" s="803"/>
      <c r="H21" s="803"/>
      <c r="K21" s="78"/>
    </row>
    <row r="23" spans="2:11" ht="15" customHeight="1">
      <c r="D23" s="799" t="str">
        <f>Language!B432</f>
        <v>Calculated costs – Quality management</v>
      </c>
      <c r="E23" s="799"/>
      <c r="F23" s="799"/>
    </row>
    <row r="24" spans="2:11" ht="28.5" customHeight="1">
      <c r="D24" s="800" t="str">
        <f>Language!B243</f>
        <v>Total annual QMS cost</v>
      </c>
      <c r="E24" s="801"/>
      <c r="F24" s="675">
        <f>SUM(F5:F20)</f>
        <v>190</v>
      </c>
    </row>
    <row r="25" spans="2:11" ht="30" customHeight="1" thickBot="1">
      <c r="D25" s="800" t="str">
        <f>Language!B244</f>
        <v>QMS cost per sample</v>
      </c>
      <c r="E25" s="801"/>
      <c r="F25" s="73">
        <f>SUM(G5:G20)</f>
        <v>0.23749999999999999</v>
      </c>
    </row>
  </sheetData>
  <sheetProtection algorithmName="SHA-512" hashValue="KOpVkVxVGZa7UDNOcDlS+Yv2mxvb0VSK15waWmtjuSkeB+daZlim0MKyHndNsNiKsCdzpwqkwkm02aBQ4k7Fhw==" saltValue="WZR17D/SuCDk9Eiv5pAJwA==" spinCount="100000" sheet="1" objects="1" scenarios="1" formatColumns="0" formatRows="0"/>
  <mergeCells count="5">
    <mergeCell ref="D23:F23"/>
    <mergeCell ref="D24:E24"/>
    <mergeCell ref="D25:E25"/>
    <mergeCell ref="B2:H2"/>
    <mergeCell ref="B21:H21"/>
  </mergeCells>
  <phoneticPr fontId="4" type="noConversion"/>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679C-4BF4-4825-A02E-EEC0C199BCB6}">
  <dimension ref="B2:X27"/>
  <sheetViews>
    <sheetView tabSelected="1" topLeftCell="A6" zoomScale="120" zoomScaleNormal="120" workbookViewId="0">
      <selection activeCell="G14" sqref="G14"/>
    </sheetView>
  </sheetViews>
  <sheetFormatPr defaultColWidth="8.83984375" defaultRowHeight="14.4"/>
  <cols>
    <col min="2" max="2" width="52.68359375" customWidth="1"/>
    <col min="3" max="3" width="25" customWidth="1"/>
    <col min="4" max="4" width="24.83984375" customWidth="1"/>
  </cols>
  <sheetData>
    <row r="2" spans="2:24">
      <c r="B2" s="743" t="str">
        <f>Language!B395</f>
        <v>Results (in USD)</v>
      </c>
      <c r="C2" s="743"/>
      <c r="D2" s="743"/>
      <c r="E2" s="743"/>
      <c r="F2" s="743"/>
      <c r="G2" s="743"/>
      <c r="H2" s="743"/>
      <c r="I2" s="743"/>
      <c r="J2" s="743"/>
      <c r="K2" s="743"/>
      <c r="L2" s="743"/>
      <c r="M2" s="515"/>
      <c r="N2" s="515"/>
      <c r="O2" s="515"/>
      <c r="P2" s="515"/>
      <c r="Q2" s="515"/>
      <c r="R2" s="515"/>
      <c r="S2" s="515"/>
      <c r="T2" s="515"/>
      <c r="U2" s="515"/>
      <c r="V2" s="515"/>
      <c r="W2" s="515"/>
      <c r="X2" s="515"/>
    </row>
    <row r="3" spans="2:24" ht="14.7" thickBot="1"/>
    <row r="4" spans="2:24">
      <c r="B4" s="804" t="str">
        <f>Language!$B$46</f>
        <v>Output costs/results</v>
      </c>
      <c r="C4" s="805"/>
      <c r="D4" s="806"/>
    </row>
    <row r="5" spans="2:24" ht="14.7" thickBot="1">
      <c r="B5" s="125" t="str">
        <f>Language!$B$48</f>
        <v>Establishment costs (equipment and bioinformatics)</v>
      </c>
      <c r="C5" s="807">
        <f>Equipment!$Q$103+(IF('Data entry'!$C$32='Annex1_Library Prep'!$AA$5, Bioinformatics!$B$75, IF('Data entry'!$C$32='Annex1_Library Prep'!$AA$6, Bioinformatics!$B$79, IF('Data entry'!$C$32='Annex1_Library Prep'!$AA$7, Bioinformatics!$B$83,0))))</f>
        <v>338444.06199999998</v>
      </c>
      <c r="D5" s="808"/>
      <c r="E5" s="8"/>
    </row>
    <row r="6" spans="2:24" ht="28.8">
      <c r="B6" s="124" t="str">
        <f>Language!$B$92</f>
        <v>Potential items for purchase to reach recommended equipment quantities</v>
      </c>
      <c r="C6" s="809">
        <f>Equipment!$Q$104</f>
        <v>10790.172</v>
      </c>
      <c r="D6" s="810"/>
    </row>
    <row r="7" spans="2:24" ht="14.7" thickBot="1">
      <c r="B7" s="126" t="str">
        <f>Language!$B$49</f>
        <v>Total operational cost (per year)</v>
      </c>
      <c r="C7" s="811">
        <f>'Reagents and consumables'!$I$115+Equipment!$Q$107+$D$14+'Personnel and training'!$E$45+'Facility and transport'!$I$48+'Quality management'!$F$24</f>
        <v>271272.45975000004</v>
      </c>
      <c r="D7" s="812"/>
      <c r="E7" s="8"/>
    </row>
    <row r="8" spans="2:24" ht="14.7" thickBot="1"/>
    <row r="9" spans="2:24" ht="14.7" thickBot="1">
      <c r="B9" s="51" t="str">
        <f>Language!$B$50</f>
        <v>Costs per category</v>
      </c>
      <c r="C9" s="122" t="str">
        <f>Language!$B$51</f>
        <v>Cost per sample</v>
      </c>
      <c r="D9" s="689" t="str">
        <f>Language!$B$52</f>
        <v>Total</v>
      </c>
    </row>
    <row r="10" spans="2:24" ht="28.8">
      <c r="B10" s="399" t="str">
        <f>Language!$B$53</f>
        <v>Reagents for sequencing and library preparation - Sequencer 1 (with sample retests)</v>
      </c>
      <c r="C10" s="60">
        <f>IFERROR($D$10/('Data entry'!$C$16),0)</f>
        <v>196.988</v>
      </c>
      <c r="D10" s="61">
        <f>'Reagents and consumables'!$J$110</f>
        <v>98494</v>
      </c>
    </row>
    <row r="11" spans="2:24" ht="29.1" thickBot="1">
      <c r="B11" s="396" t="str">
        <f>Language!$B$336</f>
        <v>Reagents for sequencing and library preparation – Sequencer 2 (with sample retests)</v>
      </c>
      <c r="C11" s="397">
        <f>IFERROR($D$11/('Data entry'!$F$16),0)</f>
        <v>0</v>
      </c>
      <c r="D11" s="398">
        <f>'Reagents and consumables'!$K$110</f>
        <v>0</v>
      </c>
    </row>
    <row r="12" spans="2:24">
      <c r="B12" s="127" t="str">
        <f>Language!$B$54</f>
        <v>Reagents and consumables (including sample retests)</v>
      </c>
      <c r="C12" s="395">
        <f>D12/'Data entry'!$F$32</f>
        <v>191.31737000000001</v>
      </c>
      <c r="D12" s="56">
        <f>'Reagents and consumables'!$I$115</f>
        <v>153053.89600000001</v>
      </c>
    </row>
    <row r="13" spans="2:24">
      <c r="B13" s="125" t="str">
        <f>Language!$B$382</f>
        <v>Equipment operational cost</v>
      </c>
      <c r="C13" s="54">
        <f>D13/'Data entry'!$F$32</f>
        <v>103.62339218749997</v>
      </c>
      <c r="D13" s="57">
        <f>Equipment!$Q$107</f>
        <v>82898.713749999981</v>
      </c>
    </row>
    <row r="14" spans="2:24">
      <c r="B14" s="125" t="str">
        <f>Language!$B$56</f>
        <v>Bioinformatics</v>
      </c>
      <c r="C14" s="54">
        <f>D14/'Data entry'!$F$32</f>
        <v>4.1748124999999998</v>
      </c>
      <c r="D14" s="57">
        <f>IF('Data entry'!$C$32='Annex1_Library Prep'!$AA$5, Bioinformatics!$G$23, IF('Data entry'!$C$32='Annex1_Library Prep'!$AA$6, Bioinformatics!$I$70, IF('Data entry'!$C$32='Annex1_Library Prep'!$AA$7, Bioinformatics!$B$84,0)))</f>
        <v>3339.85</v>
      </c>
      <c r="E14" s="26" t="str">
        <f>IF(D14=0,Language!$B$350,"")</f>
        <v/>
      </c>
    </row>
    <row r="15" spans="2:24">
      <c r="B15" s="125" t="str">
        <f>Language!$B$57</f>
        <v>Personnel and training</v>
      </c>
      <c r="C15" s="54">
        <f>D15/'Data entry'!$F$32</f>
        <v>31</v>
      </c>
      <c r="D15" s="57">
        <f>'Personnel and training'!$E$45</f>
        <v>24800</v>
      </c>
      <c r="E15" s="26" t="str">
        <f>IF(D15=0,Language!$B$351,"")</f>
        <v/>
      </c>
    </row>
    <row r="16" spans="2:24">
      <c r="B16" s="125" t="str">
        <f>Language!$B$58</f>
        <v>Facility and transport</v>
      </c>
      <c r="C16" s="54">
        <f>D16/'Data entry'!$F$32</f>
        <v>8.7375000000000007</v>
      </c>
      <c r="D16" s="57">
        <f>'Facility and transport'!$I$48</f>
        <v>6990</v>
      </c>
      <c r="E16" s="26" t="str">
        <f>IF(D16=0,Language!$B$352,"")</f>
        <v/>
      </c>
    </row>
    <row r="17" spans="2:5">
      <c r="B17" s="125" t="str">
        <f>Language!$B$59</f>
        <v>Quality management</v>
      </c>
      <c r="C17" s="54">
        <f>D17/'Data entry'!$F$32</f>
        <v>0.23749999999999999</v>
      </c>
      <c r="D17" s="57">
        <f>'Quality management'!$F$24</f>
        <v>190</v>
      </c>
      <c r="E17" s="26"/>
    </row>
    <row r="18" spans="2:5" ht="14.7" thickBot="1">
      <c r="B18" s="690" t="str">
        <f>Language!$B$52</f>
        <v>Total</v>
      </c>
      <c r="C18" s="59">
        <f>SUM(C12:C17)</f>
        <v>339.09057468750001</v>
      </c>
      <c r="D18" s="58">
        <f>SUM(D12:D17)</f>
        <v>271272.45975000004</v>
      </c>
      <c r="E18" s="26"/>
    </row>
    <row r="19" spans="2:5" ht="14.7" thickBot="1"/>
    <row r="20" spans="2:5" ht="14.7" thickBot="1">
      <c r="B20" s="691" t="str">
        <f>Language!$B$60</f>
        <v>Costs per lab workflow step</v>
      </c>
      <c r="C20" s="123" t="str">
        <f>Language!$B$61</f>
        <v>Cost per sample</v>
      </c>
      <c r="D20" s="692" t="str">
        <f>Language!$B$52</f>
        <v>Total</v>
      </c>
      <c r="E20" s="26" t="str">
        <f>Language!$B$340</f>
        <v/>
      </c>
    </row>
    <row r="21" spans="2:5">
      <c r="B21" s="124" t="str">
        <f>Language!$B$31</f>
        <v>Sample receipt</v>
      </c>
      <c r="C21" s="60">
        <f>D21/'Data entry'!$F$32</f>
        <v>26.767560250000002</v>
      </c>
      <c r="D21" s="61">
        <f>SUMIF('Reagents and consumables'!$B$5:$B$105,"Yes",'Reagents and consumables'!$L$5:$L$105)+SUMIF(Equipment!$B$5:$B$99,"Yes",Equipment!$T$5:$T$99)+((SUM('Personnel and training'!$E$45+'Facility and transport'!$I$48+'Quality management'!$F$24))/6)+(SUM('Reagents and consumables'!$I$112)/6)</f>
        <v>21414.048200000001</v>
      </c>
    </row>
    <row r="22" spans="2:5">
      <c r="B22" s="125" t="str">
        <f>Language!$B$32</f>
        <v>Nucleic acid extraction</v>
      </c>
      <c r="C22" s="54">
        <f>D22/'Data entry'!$F$32</f>
        <v>30.876294937500003</v>
      </c>
      <c r="D22" s="57">
        <f>SUMIF('Reagents and consumables'!$C$5:$C$105,"Yes",'Reagents and consumables'!$L$5:$L$105)+SUMIF(Equipment!$C$5:$C$99,"Yes",Equipment!$T$5:$T$99)+((SUM('Personnel and training'!$E$45+'Facility and transport'!$I$48+'Quality management'!$F$24))/6)+(SUM('Reagents and consumables'!$I$112)/6)</f>
        <v>24701.035950000001</v>
      </c>
      <c r="E22" s="24"/>
    </row>
    <row r="23" spans="2:5">
      <c r="B23" s="125" t="str">
        <f>Language!$B$33</f>
        <v>PCR testing</v>
      </c>
      <c r="C23" s="54">
        <f>D23/'Data entry'!$F$32</f>
        <v>41.381946031250003</v>
      </c>
      <c r="D23" s="57">
        <f>SUMIF('Reagents and consumables'!$D$5:$D$105,"Yes",'Reagents and consumables'!$L$5:$L$105)+SUMIF(Equipment!$D$5:$D$99,"Yes",Equipment!$T$5:$T$99)+((SUM('Personnel and training'!$E$45+'Facility and transport'!$I$48+'Quality management'!$F$24))/6)+(SUM('Reagents and consumables'!$I$112)/6)</f>
        <v>33105.556825</v>
      </c>
    </row>
    <row r="24" spans="2:5">
      <c r="B24" s="125" t="str">
        <f>Language!$B$34</f>
        <v>NGS library preparation</v>
      </c>
      <c r="C24" s="54">
        <f>D24/'Data entry'!$F$32</f>
        <v>77.517732593750011</v>
      </c>
      <c r="D24" s="57">
        <f>SUMIF('Reagents and consumables'!$E$5:$E$105,"Yes",'Reagents and consumables'!$L$5:$L$105)+SUMIF(Equipment!$E$5:$E$99,"Yes",Equipment!$T$5:$T$99)+((SUM('Personnel and training'!$E$45+'Facility and transport'!$I$48+'Quality management'!$F$24))/6)+(SUM('Reagents and consumables'!$I$112)/6)</f>
        <v>62014.186075000012</v>
      </c>
    </row>
    <row r="25" spans="2:5">
      <c r="B25" s="125" t="str">
        <f>Language!$B$35</f>
        <v>Sequencing</v>
      </c>
      <c r="C25" s="54">
        <f>D25/'Data entry'!$F$32</f>
        <v>149.18162837499997</v>
      </c>
      <c r="D25" s="57">
        <f>SUMIF('Reagents and consumables'!$F$5:$F$105,"Yes",'Reagents and consumables'!$L$5:$L$105)+SUMIF(Equipment!$F$5:$F$99,"Yes",Equipment!$T$5:$T$99)+((SUM('Personnel and training'!$E$45+'Facility and transport'!$I$48+'Quality management'!$F$24))/6)+(SUM('Reagents and consumables'!$I$112)/6)</f>
        <v>119345.30269999999</v>
      </c>
    </row>
    <row r="26" spans="2:5">
      <c r="B26" s="125" t="str">
        <f>Language!$B$36</f>
        <v>Bioinformatics</v>
      </c>
      <c r="C26" s="54">
        <f>D26/'Data entry'!$F$32</f>
        <v>13.3654125</v>
      </c>
      <c r="D26" s="57">
        <f>D14+((SUM('Personnel and training'!$E$45+'Facility and transport'!$I$48+'Quality management'!$F$24))/6)+(SUM('Reagents and consumables'!$I$112)/6)</f>
        <v>10692.33</v>
      </c>
    </row>
    <row r="27" spans="2:5" ht="14.7" thickBot="1">
      <c r="B27" s="690" t="str">
        <f>Language!$B$52</f>
        <v>Total</v>
      </c>
      <c r="C27" s="59">
        <f>SUM(C21:C26)</f>
        <v>339.09057468750001</v>
      </c>
      <c r="D27" s="58">
        <f>SUM(D21:D26)</f>
        <v>271272.45975000004</v>
      </c>
    </row>
  </sheetData>
  <sheetProtection algorithmName="SHA-512" hashValue="nuco0ASu3PfwsyLVFRY9AJEZUCyER/43+UhwVT9AL8d207FSlIjpIjSWSVR0fYU25ZdrPqprNtO2azDTRigf6Q==" saltValue="BPqpsqMeZ3lKZsLNK4Lhqg==" spinCount="100000" sheet="1" formatColumns="0" formatRows="0" pivotTables="0"/>
  <mergeCells count="5">
    <mergeCell ref="B4:D4"/>
    <mergeCell ref="C5:D5"/>
    <mergeCell ref="C6:D6"/>
    <mergeCell ref="C7:D7"/>
    <mergeCell ref="B2:L2"/>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50DE-259F-45B8-A215-CBC4D9F0B063}">
  <dimension ref="B2:X27"/>
  <sheetViews>
    <sheetView zoomScale="120" zoomScaleNormal="120" workbookViewId="0">
      <selection activeCell="D26" sqref="D26"/>
    </sheetView>
  </sheetViews>
  <sheetFormatPr defaultColWidth="8.83984375" defaultRowHeight="14.4"/>
  <cols>
    <col min="2" max="2" width="52.68359375" customWidth="1"/>
    <col min="3" max="3" width="25" customWidth="1"/>
    <col min="4" max="4" width="24.83984375" customWidth="1"/>
  </cols>
  <sheetData>
    <row r="2" spans="2:24">
      <c r="B2" s="743" t="str">
        <f>Language!B410</f>
        <v>Results (in local currency) - provided that the conversion rate from USD to local currency has been entered in cell O2 in the "Reagents and consumables" tab</v>
      </c>
      <c r="C2" s="743"/>
      <c r="D2" s="743"/>
      <c r="E2" s="743"/>
      <c r="F2" s="743"/>
      <c r="G2" s="743"/>
      <c r="H2" s="743"/>
      <c r="I2" s="743"/>
      <c r="J2" s="743"/>
      <c r="K2" s="743"/>
      <c r="L2" s="743"/>
      <c r="M2" s="515"/>
      <c r="N2" s="515"/>
      <c r="O2" s="515"/>
      <c r="P2" s="515"/>
      <c r="Q2" s="515"/>
      <c r="R2" s="515"/>
      <c r="S2" s="515"/>
      <c r="T2" s="515"/>
      <c r="U2" s="515"/>
      <c r="V2" s="515"/>
      <c r="W2" s="515"/>
      <c r="X2" s="515"/>
    </row>
    <row r="3" spans="2:24" ht="14.7" thickBot="1"/>
    <row r="4" spans="2:24">
      <c r="B4" s="804" t="str">
        <f>Language!$B$46</f>
        <v>Output costs/results</v>
      </c>
      <c r="C4" s="805"/>
      <c r="D4" s="806"/>
    </row>
    <row r="5" spans="2:24" ht="14.7" thickBot="1">
      <c r="B5" s="125" t="str">
        <f>Language!$B$48</f>
        <v>Establishment costs (equipment and bioinformatics)</v>
      </c>
      <c r="C5" s="813">
        <f>(Equipment!$Q$103+(IF('Data entry'!$C$32='Annex1_Library Prep'!$AA$5, Bioinformatics!$B$75, IF('Data entry'!$C$32='Annex1_Library Prep'!$AA$6, Bioinformatics!$B$79, IF('Data entry'!$C$32='Annex1_Library Prep'!$AA$7, Bioinformatics!$B$83,0)))))*'Reagents and consumables'!O2</f>
        <v>0</v>
      </c>
      <c r="D5" s="814"/>
      <c r="E5" s="26" t="str">
        <f>IF(C5=0,Language!B411,"")</f>
        <v>Make sure to enter conversion rate from USD to local currency in cell O2 in the "Reagents and consumables" tab</v>
      </c>
    </row>
    <row r="6" spans="2:24" ht="28.8">
      <c r="B6" s="124" t="str">
        <f>Language!$B$92</f>
        <v>Potential items for purchase to reach recommended equipment quantities</v>
      </c>
      <c r="C6" s="815">
        <f>Equipment!$Q$104*'Reagents and consumables'!O2</f>
        <v>0</v>
      </c>
      <c r="D6" s="816"/>
    </row>
    <row r="7" spans="2:24" ht="14.7" thickBot="1">
      <c r="B7" s="126" t="str">
        <f>Language!$B$49</f>
        <v>Total operational cost (per year)</v>
      </c>
      <c r="C7" s="817">
        <f>('Reagents and consumables'!$I$115+Equipment!$Q$107+$D$14+'Personnel and training'!$E$45+'Facility and transport'!$I$48+'Quality management'!$F$24)*'Reagents and consumables'!O2</f>
        <v>0</v>
      </c>
      <c r="D7" s="818"/>
      <c r="E7" s="8"/>
    </row>
    <row r="8" spans="2:24" ht="14.7" thickBot="1">
      <c r="B8" s="6"/>
    </row>
    <row r="9" spans="2:24" ht="14.7" thickBot="1">
      <c r="B9" s="693" t="str">
        <f>Language!$B$50</f>
        <v>Costs per category</v>
      </c>
      <c r="C9" s="122" t="str">
        <f>Language!$B$51</f>
        <v>Cost per sample</v>
      </c>
      <c r="D9" s="689" t="str">
        <f>Language!$B$52</f>
        <v>Total</v>
      </c>
    </row>
    <row r="10" spans="2:24" ht="28.8">
      <c r="B10" s="399" t="str">
        <f>Language!$B$53</f>
        <v>Reagents for sequencing and library preparation - Sequencer 1 (with sample retests)</v>
      </c>
      <c r="C10" s="632">
        <f>IFERROR($D$10/('Data entry'!$C$16),0)</f>
        <v>0</v>
      </c>
      <c r="D10" s="627">
        <f>'Reagents and consumables'!$J$110*'Reagents and consumables'!O2</f>
        <v>0</v>
      </c>
    </row>
    <row r="11" spans="2:24" ht="29.1" thickBot="1">
      <c r="B11" s="396" t="str">
        <f>Language!$B$336</f>
        <v>Reagents for sequencing and library preparation – Sequencer 2 (with sample retests)</v>
      </c>
      <c r="C11" s="635">
        <f>IFERROR($D$11/('Data entry'!$F$16),0)</f>
        <v>0</v>
      </c>
      <c r="D11" s="628">
        <f>'Reagents and consumables'!$K$110*'Reagents and consumables'!O2</f>
        <v>0</v>
      </c>
    </row>
    <row r="12" spans="2:24">
      <c r="B12" s="127" t="str">
        <f>Language!$B$54</f>
        <v>Reagents and consumables (including sample retests)</v>
      </c>
      <c r="C12" s="636">
        <f>D12/'Data entry'!$F$32</f>
        <v>0</v>
      </c>
      <c r="D12" s="629">
        <f>'Reagents and consumables'!$I$115*'Reagents and consumables'!O2</f>
        <v>0</v>
      </c>
    </row>
    <row r="13" spans="2:24">
      <c r="B13" s="125" t="str">
        <f>Language!$B$382</f>
        <v>Equipment operational cost</v>
      </c>
      <c r="C13" s="633">
        <f>D13/'Data entry'!$F$32</f>
        <v>0</v>
      </c>
      <c r="D13" s="630">
        <f>Equipment!$Q$107*'Reagents and consumables'!O2</f>
        <v>0</v>
      </c>
    </row>
    <row r="14" spans="2:24">
      <c r="B14" s="125" t="str">
        <f>Language!$B$56</f>
        <v>Bioinformatics</v>
      </c>
      <c r="C14" s="633">
        <f>D14/'Data entry'!$F$32</f>
        <v>0</v>
      </c>
      <c r="D14" s="630">
        <f>(IF('Data entry'!$C$32='Annex1_Library Prep'!$AA$5, Bioinformatics!$G$23, IF('Data entry'!$C$32='Annex1_Library Prep'!$AA$6, Bioinformatics!$I$70, IF('Data entry'!$C$32='Annex1_Library Prep'!$AA$7, Bioinformatics!$B$84,0))))*'Reagents and consumables'!O2</f>
        <v>0</v>
      </c>
      <c r="E14" s="26" t="str">
        <f>IF(D14=0,Language!$B$350,"")</f>
        <v>Inputs into "Bioinformatics" tab needed to display cost</v>
      </c>
    </row>
    <row r="15" spans="2:24">
      <c r="B15" s="125" t="str">
        <f>Language!$B$57</f>
        <v>Personnel and training</v>
      </c>
      <c r="C15" s="633">
        <f>D15/'Data entry'!$F$32</f>
        <v>0</v>
      </c>
      <c r="D15" s="630">
        <f>'Personnel and training'!$E$45*'Reagents and consumables'!O2</f>
        <v>0</v>
      </c>
      <c r="E15" s="26" t="str">
        <f>IF(D15=0,Language!$B$351,"")</f>
        <v>Inputs into "Personnel and training" tab needed to display cost</v>
      </c>
    </row>
    <row r="16" spans="2:24">
      <c r="B16" s="125" t="str">
        <f>Language!$B$58</f>
        <v>Facility and transport</v>
      </c>
      <c r="C16" s="633">
        <f>D16/'Data entry'!$F$32</f>
        <v>0</v>
      </c>
      <c r="D16" s="630">
        <f>'Facility and transport'!$I$48*'Reagents and consumables'!O2</f>
        <v>0</v>
      </c>
      <c r="E16" s="26" t="str">
        <f>IF(D16=0,Language!$B$352,"")</f>
        <v>Inputs into "Facility and transport" tab needed to display cost</v>
      </c>
    </row>
    <row r="17" spans="2:5">
      <c r="B17" s="125" t="str">
        <f>Language!$B$59</f>
        <v>Quality management</v>
      </c>
      <c r="C17" s="633">
        <f>D17/'Data entry'!$F$32</f>
        <v>0</v>
      </c>
      <c r="D17" s="630">
        <f>'Quality management'!$F$24*'Reagents and consumables'!O2</f>
        <v>0</v>
      </c>
      <c r="E17" s="26"/>
    </row>
    <row r="18" spans="2:5" ht="14.7" thickBot="1">
      <c r="B18" s="690" t="str">
        <f>Language!$B$52</f>
        <v>Total</v>
      </c>
      <c r="C18" s="634">
        <f>SUM(C12:C17)</f>
        <v>0</v>
      </c>
      <c r="D18" s="631">
        <f>SUM(D12:D17)</f>
        <v>0</v>
      </c>
      <c r="E18" s="26"/>
    </row>
    <row r="19" spans="2:5" ht="14.7" thickBot="1">
      <c r="B19" s="6"/>
    </row>
    <row r="20" spans="2:5" ht="14.7" thickBot="1">
      <c r="B20" s="691" t="str">
        <f>Language!$B$60</f>
        <v>Costs per lab workflow step</v>
      </c>
      <c r="C20" s="123" t="str">
        <f>Language!$B$61</f>
        <v>Cost per sample</v>
      </c>
      <c r="D20" s="692" t="str">
        <f>Language!$B$52</f>
        <v>Total</v>
      </c>
      <c r="E20" s="26" t="str">
        <f>Language!$B$340</f>
        <v/>
      </c>
    </row>
    <row r="21" spans="2:5">
      <c r="B21" s="124" t="str">
        <f>Language!$B$31</f>
        <v>Sample receipt</v>
      </c>
      <c r="C21" s="632">
        <f>D21/'Data entry'!$F$32</f>
        <v>0</v>
      </c>
      <c r="D21" s="627">
        <f>(SUMIF('Reagents and consumables'!$B$5:$B$105,"Yes",'Reagents and consumables'!$L$5:$L$105)+SUMIF(Equipment!$B$5:$B$99,"Yes",Equipment!$T$5:$T$99)+((SUM('Personnel and training'!$E$45+'Facility and transport'!$I$48+'Quality management'!$F$24))/6)+(SUM('Reagents and consumables'!$I$112)/6))*'Reagents and consumables'!O2</f>
        <v>0</v>
      </c>
    </row>
    <row r="22" spans="2:5">
      <c r="B22" s="125" t="str">
        <f>Language!$B$32</f>
        <v>Nucleic acid extraction</v>
      </c>
      <c r="C22" s="633">
        <f>D22/'Data entry'!$F$32</f>
        <v>0</v>
      </c>
      <c r="D22" s="630">
        <f>(SUMIF('Reagents and consumables'!$C$5:$C$105,"Yes",'Reagents and consumables'!$L$5:$L$105)+SUMIF(Equipment!$C$5:$C$99,"Yes",Equipment!$T$5:$T$99)+((SUM('Personnel and training'!$E$45+'Facility and transport'!$I$48+'Quality management'!$F$24))/6)+(SUM('Reagents and consumables'!$I$112)/6))*'Reagents and consumables'!O2</f>
        <v>0</v>
      </c>
      <c r="E22" s="24"/>
    </row>
    <row r="23" spans="2:5">
      <c r="B23" s="125" t="str">
        <f>Language!$B$33</f>
        <v>PCR testing</v>
      </c>
      <c r="C23" s="633">
        <f>D23/'Data entry'!$F$32</f>
        <v>0</v>
      </c>
      <c r="D23" s="630">
        <f>(SUMIF('Reagents and consumables'!$D$5:$D$105,"Yes",'Reagents and consumables'!$L$5:$L$105)+SUMIF(Equipment!$D$5:$D$99,"Yes",Equipment!$T$5:$T$99)+((SUM('Personnel and training'!$E$45+'Facility and transport'!$I$48+'Quality management'!$F$24))/6)+(SUM('Reagents and consumables'!$I$112)/6))*'Reagents and consumables'!O2</f>
        <v>0</v>
      </c>
    </row>
    <row r="24" spans="2:5">
      <c r="B24" s="125" t="str">
        <f>Language!$B$34</f>
        <v>NGS library preparation</v>
      </c>
      <c r="C24" s="633">
        <f>D24/'Data entry'!$F$32</f>
        <v>0</v>
      </c>
      <c r="D24" s="630">
        <f>(SUMIF('Reagents and consumables'!$E$5:$E$105,"Yes",'Reagents and consumables'!$L$5:$L$105)+SUMIF(Equipment!$E$5:$E$99,"Yes",Equipment!$T$5:$T$99)+((SUM('Personnel and training'!$E$45+'Facility and transport'!$I$48+'Quality management'!$F$24))/6)+(SUM('Reagents and consumables'!$I$112)/6))*'Reagents and consumables'!O2</f>
        <v>0</v>
      </c>
    </row>
    <row r="25" spans="2:5">
      <c r="B25" s="125" t="str">
        <f>Language!$B$35</f>
        <v>Sequencing</v>
      </c>
      <c r="C25" s="633">
        <f>D25/'Data entry'!$F$32</f>
        <v>0</v>
      </c>
      <c r="D25" s="630">
        <f>(SUMIF('Reagents and consumables'!$F$5:$F$105,"Yes",'Reagents and consumables'!$L$5:$L$105)+SUMIF(Equipment!$F$5:$F$99,"Yes",Equipment!$T$5:$T$99)+((SUM('Personnel and training'!$E$45+'Facility and transport'!$I$48+'Quality management'!$F$24))/6)+(SUM('Reagents and consumables'!$I$112)/6))*'Reagents and consumables'!O2</f>
        <v>0</v>
      </c>
    </row>
    <row r="26" spans="2:5">
      <c r="B26" s="125" t="str">
        <f>Language!$B$36</f>
        <v>Bioinformatics</v>
      </c>
      <c r="C26" s="633">
        <f>D26/'Data entry'!$F$32</f>
        <v>0</v>
      </c>
      <c r="D26" s="630">
        <f>D14+(((SUM('Personnel and training'!$E$45+'Facility and transport'!$I$48+'Quality management'!$F$24))/6)+(SUM('Reagents and consumables'!$I$112)/6))*'Reagents and consumables'!O2</f>
        <v>0</v>
      </c>
    </row>
    <row r="27" spans="2:5" ht="14.7" thickBot="1">
      <c r="B27" s="690" t="str">
        <f>Language!$B$52</f>
        <v>Total</v>
      </c>
      <c r="C27" s="634">
        <f>SUM(C21:C26)</f>
        <v>0</v>
      </c>
      <c r="D27" s="631">
        <f>SUM(D21:D26)</f>
        <v>0</v>
      </c>
    </row>
  </sheetData>
  <sheetProtection algorithmName="SHA-512" hashValue="MQWwDEJtwdm4zcJ3Zno+jIxu3Z2bgqTryq/Pdnbz/5OOoc2eIemWbwojIXyLuutdNxhe05V+q3b0sT97i2vOIg==" saltValue="PLMOKEMketKL27DuAy9y/A==" spinCount="100000" sheet="1" formatColumns="0" formatRows="0" pivotTables="0"/>
  <mergeCells count="5">
    <mergeCell ref="B2:L2"/>
    <mergeCell ref="B4:D4"/>
    <mergeCell ref="C5:D5"/>
    <mergeCell ref="C6:D6"/>
    <mergeCell ref="C7:D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A0318-A976-4745-ABB2-3C0BA4435755}">
  <dimension ref="A2:AA205"/>
  <sheetViews>
    <sheetView topLeftCell="L1" zoomScale="70" zoomScaleNormal="70" workbookViewId="0">
      <selection activeCell="V9" sqref="V9"/>
    </sheetView>
  </sheetViews>
  <sheetFormatPr defaultColWidth="8.41796875" defaultRowHeight="14.4" outlineLevelRow="1"/>
  <cols>
    <col min="1" max="1" width="19" customWidth="1"/>
    <col min="2" max="2" width="61.15625" customWidth="1"/>
    <col min="3" max="3" width="30.15625" customWidth="1"/>
    <col min="4" max="4" width="57.26171875" style="15" customWidth="1"/>
    <col min="5" max="5" width="53.83984375" style="6" customWidth="1"/>
    <col min="6" max="6" width="65.68359375" bestFit="1" customWidth="1"/>
    <col min="7" max="7" width="29.15625" customWidth="1"/>
    <col min="8" max="9" width="26.41796875" customWidth="1"/>
    <col min="10" max="10" width="27.83984375" customWidth="1"/>
    <col min="11" max="11" width="44.83984375" customWidth="1"/>
    <col min="12" max="12" width="26.41796875" customWidth="1"/>
    <col min="13" max="13" width="25.15625" customWidth="1"/>
    <col min="14" max="14" width="21.68359375" bestFit="1" customWidth="1"/>
    <col min="15" max="15" width="75" customWidth="1"/>
    <col min="16" max="16" width="33.41796875" customWidth="1"/>
    <col min="17" max="22" width="18.41796875" customWidth="1"/>
    <col min="23" max="24" width="33.41796875" customWidth="1"/>
    <col min="25" max="25" width="48.41796875" customWidth="1"/>
    <col min="26" max="26" width="27.41796875" customWidth="1"/>
    <col min="27" max="27" width="29.41796875" customWidth="1"/>
    <col min="28" max="28" width="28.41796875" customWidth="1"/>
    <col min="29" max="29" width="33.83984375" customWidth="1"/>
    <col min="30" max="30" width="21" customWidth="1"/>
    <col min="31" max="31" width="29.26171875" customWidth="1"/>
    <col min="32" max="32" width="21" customWidth="1"/>
    <col min="37" max="37" width="32.68359375" customWidth="1"/>
    <col min="59" max="59" width="59.83984375" customWidth="1"/>
  </cols>
  <sheetData>
    <row r="2" spans="2:27" outlineLevel="1">
      <c r="B2">
        <v>1</v>
      </c>
      <c r="J2">
        <v>2</v>
      </c>
      <c r="K2" t="s">
        <v>42</v>
      </c>
      <c r="L2" t="s">
        <v>43</v>
      </c>
      <c r="M2">
        <v>3</v>
      </c>
      <c r="O2" t="s">
        <v>42</v>
      </c>
      <c r="S2" t="s">
        <v>43</v>
      </c>
    </row>
    <row r="3" spans="2:27" outlineLevel="1">
      <c r="B3" s="502" t="s">
        <v>44</v>
      </c>
      <c r="D3"/>
      <c r="E3" s="501" t="s">
        <v>45</v>
      </c>
      <c r="H3" s="502" t="s">
        <v>46</v>
      </c>
      <c r="J3" s="250" t="s">
        <v>47</v>
      </c>
      <c r="K3" s="1" t="s">
        <v>48</v>
      </c>
      <c r="L3" s="1" t="s">
        <v>48</v>
      </c>
      <c r="M3" s="251" t="s">
        <v>49</v>
      </c>
      <c r="N3" s="250" t="s">
        <v>50</v>
      </c>
      <c r="O3" s="250" t="s">
        <v>51</v>
      </c>
      <c r="P3" s="1" t="s">
        <v>52</v>
      </c>
      <c r="Q3" s="251" t="s">
        <v>49</v>
      </c>
      <c r="R3" s="250" t="s">
        <v>50</v>
      </c>
      <c r="S3" s="250" t="s">
        <v>51</v>
      </c>
      <c r="T3" s="1" t="s">
        <v>52</v>
      </c>
      <c r="U3" s="3"/>
      <c r="V3" s="12" t="s">
        <v>53</v>
      </c>
      <c r="W3" s="1" t="s">
        <v>54</v>
      </c>
      <c r="X3" s="1" t="s">
        <v>55</v>
      </c>
      <c r="Y3" s="12" t="s">
        <v>56</v>
      </c>
      <c r="Z3" s="1" t="s">
        <v>57</v>
      </c>
      <c r="AA3" s="1" t="s">
        <v>58</v>
      </c>
    </row>
    <row r="4" spans="2:27" outlineLevel="1">
      <c r="B4" s="3" t="s">
        <v>59</v>
      </c>
      <c r="C4" s="3" t="str">
        <f>'Annex4_Coverage Sample Calc'!C27</f>
        <v>influenza virus</v>
      </c>
      <c r="D4" s="3" t="str">
        <f>'Annex4_Coverage Sample Calc'!C38</f>
        <v>severe acute respiratory syndrome coronavirus 2 (SARS-CoV-2)</v>
      </c>
      <c r="E4" s="3" t="str">
        <f>'Annex1_Library Prep'!W6</f>
        <v>Bacterial</v>
      </c>
      <c r="F4" s="3" t="str">
        <f>'Annex4_Coverage Sample Calc'!C40</f>
        <v>Mycobacterium tuberculosis (WGS)</v>
      </c>
      <c r="G4" s="3" t="str">
        <f>'Annex4_Coverage Sample Calc'!C41</f>
        <v>Mycobacterium tuberculosis (tNGS)</v>
      </c>
      <c r="J4" s="237" t="str">
        <f>'Data entry'!$C$14</f>
        <v>Salmonella spp.</v>
      </c>
      <c r="K4" s="2" t="str" cm="1">
        <f t="array" ref="K4:K14">IF($J$4=$C$4, $C$5:$C$18,
IF($J$4=$D$4, $D$5:$D$21,
IF($J$4=$F$4, $F$5:$F$15,
IF($J$4=$G$4, $G$5:$G$10,
IF(AND(ISNUMBER(SEARCH("virus", $J$4)), ISERROR(SEARCH($C$4, $J$4)), ISERROR(SEARCH($D$4, $J$4))), $B$5:$B$16,
IF('Data entry'!$C$13=$W$6, $E$5:$E$15,
IF('Data entry'!$C$13=$W$7, $H$5:$H$9,"")))))))</f>
        <v>Illumina DNA Prep, (M) Tagmentation (96 Samples, IPB)</v>
      </c>
      <c r="L4" s="2" t="str" cm="1">
        <f t="array" ref="L4:L14">IF($J$9=$C$4, $C$5:$C$18,
IF($J$9=$D$4, $D$5:$D$21,
IF($J$9=$F$4, $F$5:$F$15,
IF($J$9=$G$4, $G$5:$G$10,
IF(AND(ISNUMBER(SEARCH("virus", $J$9)), ISERROR(SEARCH($C$4, $J$9)), ISERROR(SEARCH($D$4, $J$9))), $B$5:$B$16,
IF('Data entry'!$F$13=$W$6, $E$5:$E$15,
IF('Data entry'!$F$13=$W$7, $H$5:$H$9,"")))))))</f>
        <v>Illumina DNA Prep, (M) Tagmentation (96 Samples, IPB)</v>
      </c>
      <c r="M4" s="252" t="b">
        <f>ISNUMBER(SEARCH($N$4,'Data entry'!$C$17))</f>
        <v>1</v>
      </c>
      <c r="N4" s="237" t="s">
        <v>60</v>
      </c>
      <c r="O4" s="237" t="str">
        <f>IF(COUNTIF($M$4:$M$7, TRUE) = 0, IF(K4&lt;&gt;0, K4, ""), IF(ISNUMBER(SEARCH(INDEX($N$4:$N$7, MATCH(TRUE, $M$4:$M$7, 0)), K4)), K4, ""))</f>
        <v>Illumina DNA Prep, (M) Tagmentation (96 Samples, IPB)</v>
      </c>
      <c r="P4" s="2" t="s">
        <v>61</v>
      </c>
      <c r="Q4" s="252" t="b">
        <f>ISNUMBER(SEARCH($N$4,'Data entry'!$F$17))</f>
        <v>0</v>
      </c>
      <c r="R4" s="237" t="s">
        <v>60</v>
      </c>
      <c r="S4" s="237" t="str">
        <f>IF(COUNTIF($Q$4:$Q$7, TRUE) = 0, IF(L4&lt;&gt;0, L4, ""), IF(ISNUMBER(SEARCH(INDEX($R$4:$R$7, MATCH(TRUE, $Q$4:$Q$7, 0)), L4)), L4, ""))</f>
        <v/>
      </c>
      <c r="T4" s="2" t="s">
        <v>61</v>
      </c>
      <c r="V4" s="2" t="s">
        <v>1</v>
      </c>
      <c r="W4" s="2" t="s">
        <v>1</v>
      </c>
      <c r="X4" s="189" t="s">
        <v>1</v>
      </c>
      <c r="Y4" s="2" t="s">
        <v>1</v>
      </c>
      <c r="Z4" s="2" t="s">
        <v>1</v>
      </c>
      <c r="AA4" s="2" t="s">
        <v>1</v>
      </c>
    </row>
    <row r="5" spans="2:27" outlineLevel="1">
      <c r="B5" s="503" t="str">
        <f>$D$55</f>
        <v>Illumina DNA Prep, (M) Tagmentation (96 Samples, IPB)</v>
      </c>
      <c r="C5" s="503" t="str">
        <f>$D$55</f>
        <v>Illumina DNA Prep, (M) Tagmentation (96 Samples, IPB)</v>
      </c>
      <c r="D5" s="503" t="str">
        <f>$D$52</f>
        <v>Illumina: COVIDSeq Assay (96 Samples)</v>
      </c>
      <c r="E5" s="503" t="str">
        <f>$D$55</f>
        <v>Illumina DNA Prep, (M) Tagmentation (96 Samples, IPB)</v>
      </c>
      <c r="F5" s="503" t="str">
        <f>$D$55</f>
        <v>Illumina DNA Prep, (M) Tagmentation (96 Samples, IPB)</v>
      </c>
      <c r="G5" s="503" t="str">
        <f>$D$78</f>
        <v>Illumina and Genoscreen Deeplex Myc-TB Combo IDP Kit (48 samples)</v>
      </c>
      <c r="H5" s="503" t="str">
        <f>$D$63</f>
        <v>Illumina Microbial Amplicon Prep</v>
      </c>
      <c r="K5" s="2" t="str">
        <v>Nextera XT DNA Library Preparation Kit for Illumina</v>
      </c>
      <c r="L5" s="2" t="str">
        <v>Nextera XT DNA Library Preparation Kit for Illumina</v>
      </c>
      <c r="M5" s="252" t="b">
        <f>ISNUMBER(SEARCH($N$5,'Data entry'!$C$17))</f>
        <v>0</v>
      </c>
      <c r="N5" s="237" t="s">
        <v>62</v>
      </c>
      <c r="O5" s="237" t="str">
        <f t="shared" ref="O5:O24" si="0">IF(COUNTIF($M$4:$M$7, TRUE) = 0, IF(K5&lt;&gt;0, K5, ""), IF(ISNUMBER(SEARCH(INDEX($N$4:$N$7, MATCH(TRUE, $M$4:$M$7, 0)), K5)), K5, ""))</f>
        <v>Nextera XT DNA Library Preparation Kit for Illumina</v>
      </c>
      <c r="P5" s="2" t="str" cm="1">
        <f t="array" ref="P5">IFERROR(INDEX($O$3:$O$24, SMALL(IF(($O$3:$O$24&lt;&gt;0)*($O$3:$O$24&lt;&gt;""), ROW($O$3:$O$24)-ROW($O$3)+1), ROW(A2))), "")</f>
        <v>Illumina DNA Prep, (M) Tagmentation (96 Samples, IPB)</v>
      </c>
      <c r="Q5" s="252" t="b">
        <f>ISNUMBER(SEARCH($N$5,'Data entry'!$F$17))</f>
        <v>1</v>
      </c>
      <c r="R5" s="237" t="s">
        <v>62</v>
      </c>
      <c r="S5" s="237" t="str">
        <f t="shared" ref="S5:S24" si="1">IF(COUNTIF($Q$4:$Q$7, TRUE) = 0, IF(L5&lt;&gt;0, L5, ""), IF(ISNUMBER(SEARCH(INDEX($R$4:$R$7, MATCH(TRUE, $Q$4:$Q$7, 0)), L5)), L5, ""))</f>
        <v/>
      </c>
      <c r="T5" s="431" t="str" cm="1">
        <f t="array" ref="T5">IFERROR(INDEX($S$3:$S$24, SMALL(IF(($S$3:$S$24&lt;&gt;0)*($S$3:$S$24&lt;&gt;""), ROW($S$3:$S$24)-ROW($S$3)+1), ROW(A2))),"")</f>
        <v>ONT Ligation Sequencing Kit V14 protocol with Native Barcoding Kit 24 V14</v>
      </c>
      <c r="V5" s="14" t="str">
        <f>Language!C3</f>
        <v>English</v>
      </c>
      <c r="W5" s="2" t="s">
        <v>63</v>
      </c>
      <c r="X5" s="189" t="s">
        <v>64</v>
      </c>
      <c r="Y5" s="14" t="s">
        <v>65</v>
      </c>
      <c r="Z5" s="2" t="s">
        <v>4</v>
      </c>
      <c r="AA5" s="2" t="s">
        <v>66</v>
      </c>
    </row>
    <row r="6" spans="2:27" outlineLevel="1">
      <c r="B6" s="503" t="str">
        <f>$D$67</f>
        <v>Nextera XT DNA Library Preparation Kit for Illumina</v>
      </c>
      <c r="C6" s="503" t="str">
        <f>$D$62</f>
        <v>Illumina Microbial Amplicon Prep—Influenza A/B</v>
      </c>
      <c r="D6" s="503" t="str">
        <f>$D$55</f>
        <v>Illumina DNA Prep, (M) Tagmentation (96 Samples, IPB)</v>
      </c>
      <c r="E6" s="503" t="str">
        <f>$D$67</f>
        <v>Nextera XT DNA Library Preparation Kit for Illumina</v>
      </c>
      <c r="F6" s="503" t="str">
        <f>$D$67</f>
        <v>Nextera XT DNA Library Preparation Kit for Illumina</v>
      </c>
      <c r="G6" s="503" t="str">
        <f>$D$82</f>
        <v>Illumina and Genoscreen Deeplex Myc-TB Combo XT Kit (48 samples)</v>
      </c>
      <c r="H6" s="503" t="str">
        <f>$D$71</f>
        <v>Illumina: Respiratory Pathogen ID/AMR Enrichment Panel Kit</v>
      </c>
      <c r="K6" s="2" t="str">
        <v>NEBNext Ultra II DNA Library Prep with Sample Purification Beads for Illumina</v>
      </c>
      <c r="L6" s="2" t="str">
        <v>NEBNext Ultra II DNA Library Prep with Sample Purification Beads for Illumina</v>
      </c>
      <c r="M6" s="252" t="b">
        <f>ISNUMBER(SEARCH($N$6,'Data entry'!$C$17))</f>
        <v>0</v>
      </c>
      <c r="N6" s="237" t="s">
        <v>67</v>
      </c>
      <c r="O6" s="237" t="str">
        <f t="shared" si="0"/>
        <v>NEBNext Ultra II DNA Library Prep with Sample Purification Beads for Illumina</v>
      </c>
      <c r="P6" s="2" t="str" cm="1">
        <f t="array" ref="P6">IFERROR(INDEX($O$3:$O$24, SMALL(IF(($O$3:$O$24&lt;&gt;0)*($O$3:$O$24&lt;&gt;""), ROW($O$3:$O$24)-ROW($O$3)+1), ROW(A3))), "")</f>
        <v>Nextera XT DNA Library Preparation Kit for Illumina</v>
      </c>
      <c r="Q6" s="196" t="b">
        <f>ISNUMBER(SEARCH($N$6,'Data entry'!$F$17))</f>
        <v>0</v>
      </c>
      <c r="R6" s="237" t="s">
        <v>67</v>
      </c>
      <c r="S6" s="237" t="str">
        <f t="shared" si="1"/>
        <v/>
      </c>
      <c r="T6" s="431" t="str" cm="1">
        <f t="array" ref="T6">IFERROR(INDEX($S$3:$S$24, SMALL(IF(($S$3:$S$24&lt;&gt;0)*($S$3:$S$24&lt;&gt;""), ROW($S$3:$S$24)-ROW($S$3)+1), ROW(A3))),"")</f>
        <v>ONT Ligation Sequencing Kit V14 protocol with Native Barcoding Kit 96 V14</v>
      </c>
      <c r="V6" s="14" t="str">
        <f>Language!F3</f>
        <v>French</v>
      </c>
      <c r="W6" s="2" t="s">
        <v>68</v>
      </c>
      <c r="X6" s="189" t="s">
        <v>69</v>
      </c>
      <c r="Y6" s="14" t="s">
        <v>70</v>
      </c>
      <c r="Z6" s="2" t="s">
        <v>3</v>
      </c>
      <c r="AA6" s="2" t="s">
        <v>71</v>
      </c>
    </row>
    <row r="7" spans="2:27" outlineLevel="1">
      <c r="B7" s="503" t="str">
        <f>$D$74</f>
        <v>NEBNext Ultra II DNA Library Prep with Sample Purification Beads for Illumina</v>
      </c>
      <c r="C7" s="503" t="str">
        <f>$D$67</f>
        <v>Nextera XT DNA Library Preparation Kit for Illumina</v>
      </c>
      <c r="D7" s="503" t="str">
        <f>$D$59</f>
        <v>Illumina: COVIDSeq Test (RUO Version) (3072 Samples)</v>
      </c>
      <c r="E7" s="503" t="str">
        <f>$D$74</f>
        <v>NEBNext Ultra II DNA Library Prep with Sample Purification Beads for Illumina</v>
      </c>
      <c r="F7" s="503" t="str">
        <f>$D$74</f>
        <v>NEBNext Ultra II DNA Library Prep with Sample Purification Beads for Illumina</v>
      </c>
      <c r="G7" s="503" t="str">
        <f>$D$144</f>
        <v>TBSeq Mycobacterium nucleic acid and M. tuberculosis drug resistance gene detection kits for ONT</v>
      </c>
      <c r="H7" s="503" t="str">
        <f>$D$73</f>
        <v>Illumina Viral Surveillance Panel v2 Kit</v>
      </c>
      <c r="K7" s="2" t="str">
        <v>ONT Ligation Sequencing Kit V14 protocol with Native Barcoding Kit 24 V14</v>
      </c>
      <c r="L7" s="2" t="str">
        <v>ONT Ligation Sequencing Kit V14 protocol with Native Barcoding Kit 24 V14</v>
      </c>
      <c r="M7" s="252" t="b">
        <f>ISNUMBER(SEARCH($N$7,'Data entry'!$C$17))</f>
        <v>0</v>
      </c>
      <c r="N7" s="237" t="s">
        <v>72</v>
      </c>
      <c r="O7" s="237" t="str">
        <f t="shared" si="0"/>
        <v/>
      </c>
      <c r="P7" s="2" t="str" cm="1">
        <f t="array" ref="P7">IFERROR(INDEX($O$3:$O$24, SMALL(IF(($O$3:$O$24&lt;&gt;0)*($O$3:$O$24&lt;&gt;""), ROW($O$3:$O$24)-ROW($O$3)+1), ROW(A4))), "")</f>
        <v>NEBNext Ultra II DNA Library Prep with Sample Purification Beads for Illumina</v>
      </c>
      <c r="Q7" s="196" t="b">
        <f>ISNUMBER(SEARCH($N$7,'Data entry'!$F$17))</f>
        <v>0</v>
      </c>
      <c r="R7" s="237" t="s">
        <v>72</v>
      </c>
      <c r="S7" s="237" t="str">
        <f t="shared" si="1"/>
        <v>ONT Ligation Sequencing Kit V14 protocol with Native Barcoding Kit 24 V14</v>
      </c>
      <c r="T7" s="431" t="str" cm="1">
        <f t="array" ref="T7">IFERROR(INDEX($S$3:$S$24, SMALL(IF(($S$3:$S$24&lt;&gt;0)*($S$3:$S$24&lt;&gt;""), ROW($S$3:$S$24)-ROW($S$3)+1), ROW(A4))),"")</f>
        <v>ONT Ligation Sequencing Kit XL V14 protocol with Native Barcoding Kit 96 V14</v>
      </c>
      <c r="V7" s="14" t="str">
        <f>Language!D3</f>
        <v>Russian</v>
      </c>
      <c r="W7" s="2" t="s">
        <v>73</v>
      </c>
      <c r="X7" s="15"/>
      <c r="Y7" s="14" t="s">
        <v>74</v>
      </c>
      <c r="Z7" s="504" t="s">
        <v>75</v>
      </c>
      <c r="AA7" s="2" t="s">
        <v>76</v>
      </c>
    </row>
    <row r="8" spans="2:27" ht="28.8" outlineLevel="1">
      <c r="B8" s="503" t="str">
        <f>$D$89</f>
        <v>ONT Direct RNA Sequencing Kit</v>
      </c>
      <c r="C8" s="503" t="str">
        <f>$D$74</f>
        <v>NEBNext Ultra II DNA Library Prep with Sample Purification Beads for Illumina</v>
      </c>
      <c r="D8" s="503" t="str">
        <f>$D$67</f>
        <v>Nextera XT DNA Library Preparation Kit for Illumina</v>
      </c>
      <c r="E8" s="503" t="str">
        <f>$D$98</f>
        <v>ONT Ligation Sequencing Kit V14 protocol with Native Barcoding Kit 24 V14</v>
      </c>
      <c r="F8" s="503" t="str">
        <f>$D$98</f>
        <v>ONT Ligation Sequencing Kit V14 protocol with Native Barcoding Kit 24 V14</v>
      </c>
      <c r="G8" s="503" t="str">
        <f>$D$147</f>
        <v>ONT AmPORE TB</v>
      </c>
      <c r="H8" s="514" t="str">
        <f>$D$66</f>
        <v>Illumina Respiratory Virus Enrichment Kit</v>
      </c>
      <c r="J8" s="250" t="s">
        <v>77</v>
      </c>
      <c r="K8" s="2" t="str">
        <v>ONT Ligation Sequencing Kit V14 protocol with Native Barcoding Kit 96 V14</v>
      </c>
      <c r="L8" s="2" t="str">
        <v>ONT Ligation Sequencing Kit V14 protocol with Native Barcoding Kit 96 V14</v>
      </c>
      <c r="O8" s="237" t="str">
        <f t="shared" si="0"/>
        <v/>
      </c>
      <c r="P8" s="2" t="str" cm="1">
        <f t="array" ref="P8">IFERROR(INDEX($O$3:$O$24, SMALL(IF(($O$3:$O$24&lt;&gt;0)*($O$3:$O$24&lt;&gt;""), ROW($O$3:$O$24)-ROW($O$3)+1), ROW(A5))), "")</f>
        <v/>
      </c>
      <c r="S8" s="237" t="str">
        <f t="shared" si="1"/>
        <v>ONT Ligation Sequencing Kit V14 protocol with Native Barcoding Kit 96 V14</v>
      </c>
      <c r="T8" s="431" t="str" cm="1">
        <f t="array" ref="T8">IFERROR(INDEX($S$3:$S$24, SMALL(IF(($S$3:$S$24&lt;&gt;0)*($S$3:$S$24&lt;&gt;""), ROW($S$3:$S$24)-ROW($S$3)+1), ROW(A5))),"")</f>
        <v>ONT Rapid Barcoding Kit 24 V14</v>
      </c>
      <c r="V8" s="14" t="str">
        <f>Language!E3</f>
        <v>Spanish</v>
      </c>
      <c r="X8" s="15"/>
      <c r="Y8" s="14" t="s">
        <v>78</v>
      </c>
    </row>
    <row r="9" spans="2:27" outlineLevel="1">
      <c r="B9" s="503" t="str">
        <f>$D$98</f>
        <v>ONT Ligation Sequencing Kit V14 protocol with Native Barcoding Kit 24 V14</v>
      </c>
      <c r="C9" s="503" t="str">
        <f>$D$89</f>
        <v>ONT Direct RNA Sequencing Kit</v>
      </c>
      <c r="D9" s="503" t="str">
        <f>$D$74</f>
        <v>NEBNext Ultra II DNA Library Prep with Sample Purification Beads for Illumina</v>
      </c>
      <c r="E9" s="503" t="str">
        <f>$D$105</f>
        <v>ONT Ligation Sequencing Kit V14 protocol with Native Barcoding Kit 96 V14</v>
      </c>
      <c r="F9" s="503" t="str">
        <f>$D$105</f>
        <v>ONT Ligation Sequencing Kit V14 protocol with Native Barcoding Kit 96 V14</v>
      </c>
      <c r="G9" s="503" t="str">
        <f>$D$194</f>
        <v>MGI ATOPlex MTB Library Preparation Set</v>
      </c>
      <c r="H9" s="503" t="s">
        <v>79</v>
      </c>
      <c r="J9" s="237" t="str">
        <f>'Data entry'!$F$14</f>
        <v>Escherichia coli</v>
      </c>
      <c r="K9" s="2" t="str">
        <v>ONT Ligation Sequencing Kit XL V14 protocol with Native Barcoding Kit 96 V14</v>
      </c>
      <c r="L9" s="2" t="str">
        <v>ONT Ligation Sequencing Kit XL V14 protocol with Native Barcoding Kit 96 V14</v>
      </c>
      <c r="O9" s="237" t="str">
        <f t="shared" si="0"/>
        <v/>
      </c>
      <c r="P9" s="2" t="str" cm="1">
        <f t="array" ref="P9">IFERROR(INDEX($O$3:$O$24, SMALL(IF(($O$3:$O$24&lt;&gt;0)*($O$3:$O$24&lt;&gt;""), ROW($O$3:$O$24)-ROW($O$3)+1), ROW(A6))), "")</f>
        <v/>
      </c>
      <c r="S9" s="237" t="str">
        <f t="shared" si="1"/>
        <v>ONT Ligation Sequencing Kit XL V14 protocol with Native Barcoding Kit 96 V14</v>
      </c>
      <c r="T9" s="431" t="str" cm="1">
        <f t="array" ref="T9">IFERROR(INDEX($S$3:$S$24, SMALL(IF(($S$3:$S$24&lt;&gt;0)*($S$3:$S$24&lt;&gt;""), ROW($S$3:$S$24)-ROW($S$3)+1), ROW(A6))),"")</f>
        <v>ONT Rapid Barcoding Kit 96 V14</v>
      </c>
      <c r="V9" s="14" t="str">
        <f>Language!G3</f>
        <v>Turkish</v>
      </c>
      <c r="X9" s="15"/>
      <c r="Y9" s="14" t="s">
        <v>80</v>
      </c>
    </row>
    <row r="10" spans="2:27" outlineLevel="1">
      <c r="B10" s="503" t="str">
        <f>$D$105</f>
        <v>ONT Ligation Sequencing Kit V14 protocol with Native Barcoding Kit 96 V14</v>
      </c>
      <c r="C10" s="503" t="str">
        <f>$D$98</f>
        <v>ONT Ligation Sequencing Kit V14 protocol with Native Barcoding Kit 24 V14</v>
      </c>
      <c r="D10" s="503" t="str">
        <f>$D$86</f>
        <v>ONT COVID Mini V14: 576 samples</v>
      </c>
      <c r="E10" s="503" t="str">
        <f>$D$112</f>
        <v>ONT Ligation Sequencing Kit XL V14 protocol with Native Barcoding Kit 96 V14</v>
      </c>
      <c r="F10" s="503" t="str">
        <f>$D$112</f>
        <v>ONT Ligation Sequencing Kit XL V14 protocol with Native Barcoding Kit 96 V14</v>
      </c>
      <c r="G10" s="503" t="str">
        <f>$D$196</f>
        <v>DeepChek Assay 13-Plex KB Drug Susceptibility Testing</v>
      </c>
      <c r="H10" s="8"/>
      <c r="K10" s="2" t="str">
        <v>ONT Rapid Barcoding Kit 24 V14</v>
      </c>
      <c r="L10" s="2" t="str">
        <v>ONT Rapid Barcoding Kit 24 V14</v>
      </c>
      <c r="O10" s="237" t="str">
        <f t="shared" si="0"/>
        <v/>
      </c>
      <c r="P10" s="2" t="str" cm="1">
        <f t="array" ref="P10">IFERROR(INDEX($O$3:$O$24, SMALL(IF(($O$3:$O$24&lt;&gt;0)*($O$3:$O$24&lt;&gt;""), ROW($O$3:$O$24)-ROW($O$3)+1), ROW(A7))), "")</f>
        <v/>
      </c>
      <c r="S10" s="237" t="str">
        <f t="shared" si="1"/>
        <v>ONT Rapid Barcoding Kit 24 V14</v>
      </c>
      <c r="T10" s="431" t="str" cm="1">
        <f t="array" ref="T10">IFERROR(INDEX($S$3:$S$24, SMALL(IF(($S$3:$S$24&lt;&gt;0)*($S$3:$S$24&lt;&gt;""), ROW($S$3:$S$24)-ROW($S$3)+1), ROW(A7))),"")</f>
        <v>ONT Rapid PCR Barcoding Kit 24 V14 protocol</v>
      </c>
      <c r="X10" s="28"/>
      <c r="Y10" s="14" t="s">
        <v>58</v>
      </c>
    </row>
    <row r="11" spans="2:27" ht="16.350000000000001" customHeight="1" outlineLevel="1">
      <c r="B11" s="503" t="str">
        <f>$D$112</f>
        <v>ONT Ligation Sequencing Kit XL V14 protocol with Native Barcoding Kit 96 V14</v>
      </c>
      <c r="C11" s="503" t="str">
        <f>$D$105</f>
        <v>ONT Ligation Sequencing Kit V14 protocol with Native Barcoding Kit 96 V14</v>
      </c>
      <c r="D11" s="503" t="str">
        <f>$D$89</f>
        <v>ONT Direct RNA Sequencing Kit</v>
      </c>
      <c r="E11" s="503" t="str">
        <f>$D$131</f>
        <v>ONT Rapid Barcoding Kit 24 V14</v>
      </c>
      <c r="F11" s="503" t="str">
        <f>$D$131</f>
        <v>ONT Rapid Barcoding Kit 24 V14</v>
      </c>
      <c r="G11" s="8"/>
      <c r="K11" s="2" t="str">
        <v>ONT Rapid Barcoding Kit 96 V14</v>
      </c>
      <c r="L11" s="2" t="str">
        <v>ONT Rapid Barcoding Kit 96 V14</v>
      </c>
      <c r="O11" s="237" t="str">
        <f t="shared" si="0"/>
        <v/>
      </c>
      <c r="P11" s="2" t="str" cm="1">
        <f t="array" ref="P11">IFERROR(INDEX($O$3:$O$24, SMALL(IF(($O$3:$O$24&lt;&gt;0)*($O$3:$O$24&lt;&gt;""), ROW($O$3:$O$24)-ROW($O$3)+1), ROW(A8))), "")</f>
        <v/>
      </c>
      <c r="S11" s="237" t="str">
        <f t="shared" si="1"/>
        <v>ONT Rapid Barcoding Kit 96 V14</v>
      </c>
      <c r="T11" s="431" t="str" cm="1">
        <f t="array" ref="T11">IFERROR(INDEX($S$3:$S$24, SMALL(IF(($S$3:$S$24&lt;&gt;0)*($S$3:$S$24&lt;&gt;""), ROW($S$3:$S$24)-ROW($S$3)+1), ROW(A8))),"")</f>
        <v/>
      </c>
      <c r="X11" s="15"/>
      <c r="Y11" s="6"/>
    </row>
    <row r="12" spans="2:27" outlineLevel="1">
      <c r="B12" s="503" t="str">
        <f>$D$131</f>
        <v>ONT Rapid Barcoding Kit 24 V14</v>
      </c>
      <c r="C12" s="503" t="str">
        <f>$D$112</f>
        <v>ONT Ligation Sequencing Kit XL V14 protocol with Native Barcoding Kit 96 V14</v>
      </c>
      <c r="D12" s="503" t="str">
        <f>$D$98</f>
        <v>ONT Ligation Sequencing Kit V14 protocol with Native Barcoding Kit 24 V14</v>
      </c>
      <c r="E12" s="503" t="str">
        <f>$D$135</f>
        <v>ONT Rapid Barcoding Kit 96 V14</v>
      </c>
      <c r="F12" s="503" t="str">
        <f>$D$135</f>
        <v>ONT Rapid Barcoding Kit 96 V14</v>
      </c>
      <c r="K12" s="2" t="str">
        <v>ONT Rapid PCR Barcoding Kit 24 V14 protocol</v>
      </c>
      <c r="L12" s="2" t="str">
        <v>ONT Rapid PCR Barcoding Kit 24 V14 protocol</v>
      </c>
      <c r="O12" s="237" t="str">
        <f t="shared" si="0"/>
        <v/>
      </c>
      <c r="P12" s="2" t="str" cm="1">
        <f t="array" ref="P12">IFERROR(INDEX($O$3:$O$24, SMALL(IF(($O$3:$O$24&lt;&gt;0)*($O$3:$O$24&lt;&gt;""), ROW($O$3:$O$24)-ROW($O$3)+1), ROW(A9))), "")</f>
        <v/>
      </c>
      <c r="S12" s="237" t="str">
        <f t="shared" si="1"/>
        <v>ONT Rapid PCR Barcoding Kit 24 V14 protocol</v>
      </c>
      <c r="T12" s="431" t="str" cm="1">
        <f t="array" ref="T12">IFERROR(INDEX($S$3:$S$24, SMALL(IF(($S$3:$S$24&lt;&gt;0)*($S$3:$S$24&lt;&gt;""), ROW($S$3:$S$24)-ROW($S$3)+1), ROW(A9))),"")</f>
        <v/>
      </c>
      <c r="X12" s="15"/>
      <c r="Y12" s="6"/>
    </row>
    <row r="13" spans="2:27" outlineLevel="1">
      <c r="B13" s="503" t="str">
        <f>$D$135</f>
        <v>ONT Rapid Barcoding Kit 96 V14</v>
      </c>
      <c r="C13" s="503" t="str">
        <f>$D$131</f>
        <v>ONT Rapid Barcoding Kit 24 V14</v>
      </c>
      <c r="D13" s="503" t="str">
        <f>$D$105</f>
        <v>ONT Ligation Sequencing Kit V14 protocol with Native Barcoding Kit 96 V14</v>
      </c>
      <c r="E13" s="503" t="str">
        <f>$D$139</f>
        <v>ONT Rapid PCR Barcoding Kit 24 V14 protocol</v>
      </c>
      <c r="F13" s="503" t="str">
        <f>$D$139</f>
        <v>ONT Rapid PCR Barcoding Kit 24 V14 protocol</v>
      </c>
      <c r="K13" s="2" t="str">
        <v>Thermofisher Ion Xpress Plus Fragment Library Kit</v>
      </c>
      <c r="L13" s="2" t="str">
        <v>Thermofisher Ion Xpress Plus Fragment Library Kit</v>
      </c>
      <c r="O13" s="237" t="str">
        <f t="shared" si="0"/>
        <v/>
      </c>
      <c r="P13" s="2" t="str" cm="1">
        <f t="array" ref="P13">IFERROR(INDEX($O$3:$O$24, SMALL(IF(($O$3:$O$24&lt;&gt;0)*($O$3:$O$24&lt;&gt;""), ROW($O$3:$O$24)-ROW($O$3)+1), ROW(A10))), "")</f>
        <v/>
      </c>
      <c r="S13" s="237" t="str">
        <f t="shared" si="1"/>
        <v/>
      </c>
      <c r="T13" s="431" t="str" cm="1">
        <f t="array" ref="T13">IFERROR(INDEX($S$3:$S$24, SMALL(IF(($S$3:$S$24&lt;&gt;0)*($S$3:$S$24&lt;&gt;""), ROW($S$3:$S$24)-ROW($S$3)+1), ROW(A10))),"")</f>
        <v/>
      </c>
    </row>
    <row r="14" spans="2:27" outlineLevel="1">
      <c r="B14" s="503" t="str">
        <f>$D$139</f>
        <v>ONT Rapid PCR Barcoding Kit 24 V14 protocol</v>
      </c>
      <c r="C14" s="503" t="str">
        <f>$D$135</f>
        <v>ONT Rapid Barcoding Kit 96 V14</v>
      </c>
      <c r="D14" s="503" t="str">
        <f>$D$112</f>
        <v>ONT Ligation Sequencing Kit XL V14 protocol with Native Barcoding Kit 96 V14</v>
      </c>
      <c r="E14" s="503" t="str">
        <f>$D$149</f>
        <v>Thermofisher Ion Xpress Plus Fragment Library Kit</v>
      </c>
      <c r="F14" s="503" t="str">
        <f>$D$149</f>
        <v>Thermofisher Ion Xpress Plus Fragment Library Kit</v>
      </c>
      <c r="K14" s="2" t="str">
        <v>MGIEasy Fast FS DNA Library Prep
Set V2.0 (96 RXN)</v>
      </c>
      <c r="L14" s="2" t="str">
        <v>MGIEasy Fast FS DNA Library Prep
Set V2.0 (96 RXN)</v>
      </c>
      <c r="O14" s="237" t="str">
        <f t="shared" si="0"/>
        <v/>
      </c>
      <c r="P14" s="2" t="str" cm="1">
        <f t="array" ref="P14">IFERROR(INDEX($O$3:$O$24, SMALL(IF(($O$3:$O$24&lt;&gt;0)*($O$3:$O$24&lt;&gt;""), ROW($O$3:$O$24)-ROW($O$3)+1), ROW(A11))), "")</f>
        <v/>
      </c>
      <c r="S14" s="237" t="str">
        <f t="shared" si="1"/>
        <v/>
      </c>
      <c r="T14" s="431" t="str" cm="1">
        <f t="array" ref="T14">IFERROR(INDEX($S$3:$S$24, SMALL(IF(($S$3:$S$24&lt;&gt;0)*($S$3:$S$24&lt;&gt;""), ROW($S$3:$S$24)-ROW($S$3)+1), ROW(A11))),"")</f>
        <v/>
      </c>
    </row>
    <row r="15" spans="2:27" outlineLevel="1">
      <c r="B15" s="503" t="str">
        <f>$D$154</f>
        <v>Thermofisher Ion AmpliSeq Library Plus Kit with 24 rxns</v>
      </c>
      <c r="C15" s="503" t="str">
        <f>$D$139</f>
        <v>ONT Rapid PCR Barcoding Kit 24 V14 protocol</v>
      </c>
      <c r="D15" s="503" t="str">
        <f>$D$131</f>
        <v>ONT Rapid Barcoding Kit 24 V14</v>
      </c>
      <c r="E15" s="503" t="str">
        <f>$D$181</f>
        <v>MGIEasy Fast FS DNA Library Prep
Set V2.0 (96 RXN)</v>
      </c>
      <c r="F15" s="503" t="str">
        <f>$D$181</f>
        <v>MGIEasy Fast FS DNA Library Prep
Set V2.0 (96 RXN)</v>
      </c>
      <c r="K15" s="2"/>
      <c r="L15" s="2"/>
      <c r="O15" s="237" t="str">
        <f t="shared" si="0"/>
        <v/>
      </c>
      <c r="P15" s="2" t="str" cm="1">
        <f t="array" ref="P15">IFERROR(INDEX($O$3:$O$24, SMALL(IF(($O$3:$O$24&lt;&gt;0)*($O$3:$O$24&lt;&gt;""), ROW($O$3:$O$24)-ROW($O$3)+1), ROW(A12))), "")</f>
        <v/>
      </c>
      <c r="S15" s="237" t="str">
        <f t="shared" si="1"/>
        <v/>
      </c>
      <c r="T15" s="431" t="str" cm="1">
        <f t="array" ref="T15">IFERROR(INDEX($S$3:$S$24, SMALL(IF(($S$3:$S$24&lt;&gt;0)*($S$3:$S$24&lt;&gt;""), ROW($S$3:$S$24)-ROW($S$3)+1), ROW(A12))),"")</f>
        <v/>
      </c>
    </row>
    <row r="16" spans="2:27" outlineLevel="1">
      <c r="B16" s="503" t="str">
        <f>$D$181</f>
        <v>MGIEasy Fast FS DNA Library Prep
Set V2.0 (96 RXN)</v>
      </c>
      <c r="C16" s="503" t="str">
        <f>$D$154</f>
        <v>Thermofisher Ion AmpliSeq Library Plus Kit with 24 rxns</v>
      </c>
      <c r="D16" s="503" t="str">
        <f>$D$135</f>
        <v>ONT Rapid Barcoding Kit 96 V14</v>
      </c>
      <c r="K16" s="2"/>
      <c r="L16" s="2"/>
      <c r="O16" s="237" t="str">
        <f t="shared" si="0"/>
        <v/>
      </c>
      <c r="P16" s="2" t="str" cm="1">
        <f t="array" ref="P16">IFERROR(INDEX($O$3:$O$24, SMALL(IF(($O$3:$O$24&lt;&gt;0)*($O$3:$O$24&lt;&gt;""), ROW($O$3:$O$24)-ROW($O$3)+1), ROW(A13))), "")</f>
        <v/>
      </c>
      <c r="S16" s="237" t="str">
        <f t="shared" si="1"/>
        <v/>
      </c>
      <c r="T16" s="431" t="str" cm="1">
        <f t="array" ref="T16">IFERROR(INDEX($S$3:$S$24, SMALL(IF(($S$3:$S$24&lt;&gt;0)*($S$3:$S$24&lt;&gt;""), ROW($S$3:$S$24)-ROW($S$3)+1), ROW(A13))),"")</f>
        <v/>
      </c>
    </row>
    <row r="17" spans="2:20" outlineLevel="1">
      <c r="C17" s="513" t="str">
        <f>$D$171</f>
        <v>MGIEasy Respiratory Microorganisms Genome Library Preparation Set (16 RXN)</v>
      </c>
      <c r="D17" s="503" t="str">
        <f>$D$139</f>
        <v>ONT Rapid PCR Barcoding Kit 24 V14 protocol</v>
      </c>
      <c r="K17" s="2"/>
      <c r="L17" s="2"/>
      <c r="O17" s="237" t="str">
        <f t="shared" si="0"/>
        <v/>
      </c>
      <c r="P17" s="2" t="str" cm="1">
        <f t="array" ref="P17">IFERROR(INDEX($O$3:$O$24, SMALL(IF(($O$3:$O$24&lt;&gt;0)*($O$3:$O$24&lt;&gt;""), ROW($O$3:$O$24)-ROW($O$3)+1), ROW(A14))), "")</f>
        <v/>
      </c>
      <c r="S17" s="237" t="str">
        <f t="shared" si="1"/>
        <v/>
      </c>
      <c r="T17" s="431" t="str" cm="1">
        <f t="array" ref="T17">IFERROR(INDEX($S$3:$S$24, SMALL(IF(($S$3:$S$24&lt;&gt;0)*($S$3:$S$24&lt;&gt;""), ROW($S$3:$S$24)-ROW($S$3)+1), ROW(A14))),"")</f>
        <v/>
      </c>
    </row>
    <row r="18" spans="2:20" outlineLevel="1">
      <c r="C18" s="503" t="str">
        <f>$D$181</f>
        <v>MGIEasy Fast FS DNA Library Prep
Set V2.0 (96 RXN)</v>
      </c>
      <c r="D18" s="503" t="str">
        <f>$D$154</f>
        <v>Thermofisher Ion AmpliSeq Library Plus Kit with 24 rxns</v>
      </c>
      <c r="K18" s="2"/>
      <c r="L18" s="2"/>
      <c r="O18" s="237" t="str">
        <f t="shared" si="0"/>
        <v/>
      </c>
      <c r="P18" s="2" t="str" cm="1">
        <f t="array" ref="P18">IFERROR(INDEX($O$3:$O$24, SMALL(IF(($O$3:$O$24&lt;&gt;0)*($O$3:$O$24&lt;&gt;""), ROW($O$3:$O$24)-ROW($O$3)+1), ROW(A15))), "")</f>
        <v/>
      </c>
      <c r="S18" s="237" t="str">
        <f t="shared" si="1"/>
        <v/>
      </c>
      <c r="T18" s="431" t="str" cm="1">
        <f t="array" ref="T18">IFERROR(INDEX($S$3:$S$24, SMALL(IF(($S$3:$S$24&lt;&gt;0)*($S$3:$S$24&lt;&gt;""), ROW($S$3:$S$24)-ROW($S$3)+1), ROW(A15))),"")</f>
        <v/>
      </c>
    </row>
    <row r="19" spans="2:20" outlineLevel="1">
      <c r="D19" s="503" t="str">
        <f>$D$181</f>
        <v>MGIEasy Fast FS DNA Library Prep
Set V2.0 (96 RXN)</v>
      </c>
      <c r="E19"/>
      <c r="K19" s="2"/>
      <c r="L19" s="2"/>
      <c r="O19" s="237" t="str">
        <f t="shared" si="0"/>
        <v/>
      </c>
      <c r="P19" s="2" t="str" cm="1">
        <f t="array" ref="P19">IFERROR(INDEX($O$3:$O$24, SMALL(IF(($O$3:$O$24&lt;&gt;0)*($O$3:$O$24&lt;&gt;""), ROW($O$3:$O$24)-ROW($O$3)+1), ROW(A16))), "")</f>
        <v/>
      </c>
      <c r="S19" s="237" t="str">
        <f t="shared" si="1"/>
        <v/>
      </c>
      <c r="T19" s="431" t="str" cm="1">
        <f t="array" ref="T19">IFERROR(INDEX($S$3:$S$24, SMALL(IF(($S$3:$S$24&lt;&gt;0)*($S$3:$S$24&lt;&gt;""), ROW($S$3:$S$24)-ROW($S$3)+1), ROW(A16))),"")</f>
        <v/>
      </c>
    </row>
    <row r="20" spans="2:20" outlineLevel="1">
      <c r="D20" s="503" t="str">
        <f>$D$185</f>
        <v>MGI ATOPlex RNA Library Prep Set (96 RXN)</v>
      </c>
      <c r="E20"/>
      <c r="K20" s="2"/>
      <c r="L20" s="2"/>
      <c r="O20" s="237" t="str">
        <f t="shared" si="0"/>
        <v/>
      </c>
      <c r="P20" s="2" t="str" cm="1">
        <f t="array" ref="P20">IFERROR(INDEX($O$3:$O$24, SMALL(IF(($O$3:$O$24&lt;&gt;0)*($O$3:$O$24&lt;&gt;""), ROW($O$3:$O$24)-ROW($O$3)+1), ROW(A17))), "")</f>
        <v/>
      </c>
      <c r="S20" s="237" t="str">
        <f t="shared" si="1"/>
        <v/>
      </c>
      <c r="T20" s="431" t="str" cm="1">
        <f t="array" ref="T20">IFERROR(INDEX($S$3:$S$24, SMALL(IF(($S$3:$S$24&lt;&gt;0)*($S$3:$S$24&lt;&gt;""), ROW($S$3:$S$24)-ROW($S$3)+1), ROW(A17))),"")</f>
        <v/>
      </c>
    </row>
    <row r="21" spans="2:20" outlineLevel="1">
      <c r="C21" s="8"/>
      <c r="D21" s="503" t="str">
        <f>$D$189</f>
        <v>MGI ATOPlex RNA Multiplex PCR-based Library Preparation Set V3.1 (96 RXN)</v>
      </c>
      <c r="E21"/>
      <c r="K21" s="2"/>
      <c r="L21" s="2"/>
      <c r="O21" s="237" t="str">
        <f t="shared" si="0"/>
        <v/>
      </c>
      <c r="P21" s="2" t="str" cm="1">
        <f t="array" ref="P21">IFERROR(INDEX($O$3:$O$24, SMALL(IF(($O$3:$O$24&lt;&gt;0)*($O$3:$O$24&lt;&gt;""), ROW($O$3:$O$24)-ROW($O$3)+1), ROW(A18))), "")</f>
        <v/>
      </c>
      <c r="S21" s="237" t="str">
        <f t="shared" si="1"/>
        <v/>
      </c>
      <c r="T21" s="431" t="str" cm="1">
        <f t="array" ref="T21">IFERROR(INDEX($S$3:$S$24, SMALL(IF(($S$3:$S$24&lt;&gt;0)*($S$3:$S$24&lt;&gt;""), ROW($S$3:$S$24)-ROW($S$3)+1), ROW(A18))),"")</f>
        <v/>
      </c>
    </row>
    <row r="22" spans="2:20" outlineLevel="1">
      <c r="B22" s="8"/>
      <c r="C22" s="8"/>
      <c r="E22" s="8"/>
      <c r="K22" s="2"/>
      <c r="L22" s="2"/>
      <c r="O22" s="237" t="str">
        <f t="shared" si="0"/>
        <v/>
      </c>
      <c r="P22" s="2" t="str" cm="1">
        <f t="array" ref="P22">IFERROR(INDEX($O$3:$O$24, SMALL(IF(($O$3:$O$24&lt;&gt;0)*($O$3:$O$24&lt;&gt;""), ROW($O$3:$O$24)-ROW($O$3)+1), ROW(A19))), "")</f>
        <v/>
      </c>
      <c r="S22" s="237" t="str">
        <f t="shared" si="1"/>
        <v/>
      </c>
      <c r="T22" s="431" t="str" cm="1">
        <f t="array" ref="T22">IFERROR(INDEX($S$3:$S$24, SMALL(IF(($S$3:$S$24&lt;&gt;0)*($S$3:$S$24&lt;&gt;""), ROW($S$3:$S$24)-ROW($S$3)+1), ROW(A19))),"")</f>
        <v/>
      </c>
    </row>
    <row r="23" spans="2:20" outlineLevel="1">
      <c r="B23" s="8"/>
      <c r="C23" s="15"/>
      <c r="E23"/>
      <c r="K23" s="2"/>
      <c r="L23" s="2"/>
      <c r="O23" s="237" t="str">
        <f t="shared" si="0"/>
        <v/>
      </c>
      <c r="P23" s="2" t="str" cm="1">
        <f t="array" ref="P23">IFERROR(INDEX($O$3:$O$24, SMALL(IF(($O$3:$O$24&lt;&gt;0)*($O$3:$O$24&lt;&gt;""), ROW($O$3:$O$24)-ROW($O$3)+1), ROW(A20))), "")</f>
        <v/>
      </c>
      <c r="S23" s="237" t="str">
        <f t="shared" si="1"/>
        <v/>
      </c>
      <c r="T23" s="431" t="str" cm="1">
        <f t="array" ref="T23">IFERROR(INDEX($S$3:$S$24, SMALL(IF(($S$3:$S$24&lt;&gt;0)*($S$3:$S$24&lt;&gt;""), ROW($S$3:$S$24)-ROW($S$3)+1), ROW(A20))),"")</f>
        <v/>
      </c>
    </row>
    <row r="24" spans="2:20" ht="29.1" customHeight="1" outlineLevel="1">
      <c r="B24" s="8"/>
      <c r="C24" s="15"/>
      <c r="D24" s="6"/>
      <c r="E24"/>
      <c r="K24" s="2"/>
      <c r="L24" s="2"/>
      <c r="O24" s="237" t="str">
        <f t="shared" si="0"/>
        <v/>
      </c>
      <c r="P24" s="2" t="str" cm="1">
        <f t="array" ref="P24">IFERROR(INDEX($O$3:$O$24, SMALL(IF(($O$3:$O$24&lt;&gt;0)*($O$3:$O$24&lt;&gt;""), ROW($O$3:$O$24)-ROW($O$3)+1), ROW(A21))), "")</f>
        <v/>
      </c>
      <c r="S24" s="237" t="str">
        <f t="shared" si="1"/>
        <v/>
      </c>
      <c r="T24" s="431" t="str" cm="1">
        <f t="array" ref="T24">IFERROR(INDEX($S$3:$S$24, SMALL(IF(($S$3:$S$24&lt;&gt;0)*($S$3:$S$24&lt;&gt;""), ROW($S$3:$S$24)-ROW($S$3)+1), ROW(A21))),"")</f>
        <v/>
      </c>
    </row>
    <row r="25" spans="2:20" ht="27" customHeight="1" outlineLevel="1">
      <c r="B25" s="8"/>
      <c r="C25" s="15"/>
      <c r="D25" s="6"/>
      <c r="E25"/>
      <c r="O25" s="521" t="str">
        <f>IF(J4=G4,G10,"")</f>
        <v/>
      </c>
      <c r="P25" s="2" t="str" cm="1">
        <f t="array" ref="P25">IFERROR(INDEX($O$3:$O$24, SMALL(IF(($O$3:$O$24&lt;&gt;0)*($O$3:$O$24&lt;&gt;""), ROW($O$3:$O$24)-ROW($O$3)+1), ROW(A22))), "")</f>
        <v/>
      </c>
      <c r="S25" s="521" t="str">
        <f>IF(J9=G4,G10,"")</f>
        <v/>
      </c>
      <c r="T25" s="431" t="str" cm="1">
        <f t="array" ref="T25">IFERROR(INDEX($S$3:$S$24, SMALL(IF(($S$3:$S$24&lt;&gt;0)*($S$3:$S$24&lt;&gt;""), ROW($S$3:$S$24)-ROW($S$3)+1), ROW(A22))),"")</f>
        <v/>
      </c>
    </row>
    <row r="26" spans="2:20" ht="30" customHeight="1" outlineLevel="1">
      <c r="B26" s="8"/>
      <c r="C26" s="8"/>
      <c r="D26" s="8"/>
      <c r="F26" s="8"/>
      <c r="P26" s="2" t="str" cm="1">
        <f t="array" ref="P26">IFERROR(INDEX($O$3:$O$24, SMALL(IF(($O$3:$O$24&lt;&gt;0)*($O$3:$O$24&lt;&gt;""), ROW($O$3:$O$24)-ROW($O$3)+1), ROW(A23))), "")</f>
        <v/>
      </c>
      <c r="T26" s="431" t="str" cm="1">
        <f t="array" ref="T26">IFERROR(INDEX($S$3:$S$24, SMALL(IF(($S$3:$S$24&lt;&gt;0)*($S$3:$S$24&lt;&gt;""), ROW($S$3:$S$24)-ROW($S$3)+1), ROW(A23))),"")</f>
        <v/>
      </c>
    </row>
    <row r="27" spans="2:20" ht="47.25" customHeight="1" outlineLevel="1">
      <c r="B27" s="8"/>
      <c r="C27" s="8"/>
      <c r="D27" s="8"/>
      <c r="F27" s="8"/>
      <c r="G27" s="8"/>
      <c r="P27" s="2" t="str" cm="1">
        <f t="array" ref="P27">IFERROR(INDEX($O$3:$O$24, SMALL(IF(($O$3:$O$24&lt;&gt;0)*($O$3:$O$24&lt;&gt;""), ROW($O$3:$O$24)-ROW($O$3)+1), ROW(A24))), "")</f>
        <v/>
      </c>
      <c r="T27" s="431" t="str" cm="1">
        <f t="array" ref="T27">IFERROR(INDEX($S$3:$S$24, SMALL(IF(($S$3:$S$24&lt;&gt;0)*($S$3:$S$24&lt;&gt;""), ROW($S$3:$S$24)-ROW($S$3)+1), ROW(A24))),"")</f>
        <v/>
      </c>
    </row>
    <row r="28" spans="2:20" ht="47.25" customHeight="1" outlineLevel="1">
      <c r="B28" s="8"/>
      <c r="C28" s="8"/>
      <c r="F28" s="8"/>
    </row>
    <row r="29" spans="2:20" ht="31.5" customHeight="1" outlineLevel="1">
      <c r="B29" s="8"/>
      <c r="C29" s="8"/>
      <c r="F29" s="8"/>
    </row>
    <row r="30" spans="2:20" ht="31.5" customHeight="1" outlineLevel="1">
      <c r="B30" s="8"/>
      <c r="C30" s="8"/>
      <c r="F30" s="8"/>
    </row>
    <row r="31" spans="2:20" ht="92.25" customHeight="1" outlineLevel="1">
      <c r="B31" s="8"/>
      <c r="C31" s="8"/>
      <c r="F31" s="8"/>
      <c r="G31" s="8"/>
    </row>
    <row r="32" spans="2:20" ht="31.5" customHeight="1" outlineLevel="1">
      <c r="B32" s="8"/>
      <c r="C32" s="8"/>
      <c r="F32" s="8"/>
      <c r="G32" s="8"/>
    </row>
    <row r="33" spans="2:11" ht="31.5" customHeight="1" outlineLevel="1">
      <c r="B33" s="8"/>
      <c r="C33" s="8"/>
      <c r="D33" s="8"/>
      <c r="F33" s="8"/>
      <c r="G33" s="8"/>
    </row>
    <row r="34" spans="2:11" ht="30" customHeight="1" outlineLevel="1">
      <c r="D34"/>
      <c r="E34"/>
    </row>
    <row r="35" spans="2:11" ht="15.75" customHeight="1" outlineLevel="1">
      <c r="D35"/>
      <c r="E35"/>
    </row>
    <row r="36" spans="2:11" ht="15.75" customHeight="1" outlineLevel="1">
      <c r="D36"/>
      <c r="E36"/>
    </row>
    <row r="37" spans="2:11" ht="15.75" customHeight="1" outlineLevel="1">
      <c r="D37"/>
      <c r="E37"/>
    </row>
    <row r="38" spans="2:11" outlineLevel="1">
      <c r="D38"/>
      <c r="E38"/>
    </row>
    <row r="39" spans="2:11" outlineLevel="1">
      <c r="D39"/>
      <c r="E39"/>
    </row>
    <row r="40" spans="2:11" outlineLevel="1">
      <c r="D40"/>
      <c r="E40"/>
    </row>
    <row r="41" spans="2:11" outlineLevel="1">
      <c r="D41"/>
      <c r="E41"/>
    </row>
    <row r="42" spans="2:11" outlineLevel="1"/>
    <row r="43" spans="2:11" outlineLevel="1"/>
    <row r="44" spans="2:11" ht="30.75" customHeight="1" outlineLevel="1"/>
    <row r="45" spans="2:11" outlineLevel="1"/>
    <row r="46" spans="2:11" ht="30.75" customHeight="1" outlineLevel="1"/>
    <row r="47" spans="2:11" outlineLevel="1"/>
    <row r="48" spans="2:11" outlineLevel="1">
      <c r="H48" s="420" t="s">
        <v>81</v>
      </c>
      <c r="I48" s="418"/>
      <c r="J48" s="418"/>
      <c r="K48" s="418"/>
    </row>
    <row r="49" spans="1:13" ht="49.5" customHeight="1">
      <c r="E49" s="23"/>
      <c r="H49" s="257" t="s">
        <v>82</v>
      </c>
      <c r="I49" s="257" t="s">
        <v>83</v>
      </c>
    </row>
    <row r="50" spans="1:13">
      <c r="G50" s="193" t="s">
        <v>84</v>
      </c>
      <c r="H50" s="193">
        <f>'Data entry'!$C$27*'Data entry'!$C$28</f>
        <v>106</v>
      </c>
      <c r="I50" s="193">
        <f>'Data entry'!$F$27*'Data entry'!$F$28</f>
        <v>42</v>
      </c>
      <c r="J50" s="305" t="s">
        <v>85</v>
      </c>
      <c r="K50" s="305" t="s">
        <v>86</v>
      </c>
    </row>
    <row r="51" spans="1:13" ht="15" customHeight="1">
      <c r="A51" s="490" t="s">
        <v>87</v>
      </c>
      <c r="B51" s="215" t="s">
        <v>88</v>
      </c>
      <c r="C51" s="287" t="s">
        <v>54</v>
      </c>
      <c r="D51" s="288" t="s">
        <v>89</v>
      </c>
      <c r="E51" s="492" t="s">
        <v>90</v>
      </c>
      <c r="F51" s="492" t="s">
        <v>91</v>
      </c>
      <c r="G51" s="287" t="s">
        <v>92</v>
      </c>
      <c r="H51" s="288" t="s">
        <v>93</v>
      </c>
      <c r="I51" s="288" t="s">
        <v>94</v>
      </c>
      <c r="J51" s="306" t="s">
        <v>95</v>
      </c>
      <c r="K51" s="319" t="s">
        <v>96</v>
      </c>
      <c r="L51" s="493" t="s">
        <v>97</v>
      </c>
      <c r="M51" s="493" t="s">
        <v>98</v>
      </c>
    </row>
    <row r="52" spans="1:13" ht="48.75" customHeight="1">
      <c r="A52" t="s">
        <v>99</v>
      </c>
      <c r="B52" s="312" t="s">
        <v>100</v>
      </c>
      <c r="C52" s="845" t="s">
        <v>101</v>
      </c>
      <c r="D52" s="825" t="s">
        <v>102</v>
      </c>
      <c r="E52" s="348" t="s">
        <v>103</v>
      </c>
      <c r="F52" s="822" t="s">
        <v>104</v>
      </c>
      <c r="G52" s="27">
        <v>96</v>
      </c>
      <c r="H52" s="2">
        <f>IF(Equipment!$I$42&gt;=1,ROUNDUP(((1+'Data entry'!$C$33)*((1/$G52)*(('Data entry'!$C$16+'Data entry'!$C$16*'Data entry'!$C$23)+$H$50))),0),ROUNDUP((1/$G52)*(('Data entry'!$C$16+'Data entry'!$C$16*'Data entry'!$C$23)+$H$50),0))</f>
        <v>7</v>
      </c>
      <c r="I52" s="2">
        <f>IF(Equipment!$I$42&gt;=1,ROUNDUP(((1+'Data entry'!$C$33)*((1/$G52)*(('Data entry'!$F$16+'Data entry'!$F$16*'Data entry'!$F$23)+$I$50))),0),ROUNDUP((1/$G52)*(('Data entry'!$F$16+'Data entry'!$F$16*'Data entry'!$F$23)+$I$50),0))</f>
        <v>4</v>
      </c>
      <c r="J52" s="27">
        <v>96</v>
      </c>
      <c r="K52" s="283">
        <f>3322</f>
        <v>3322</v>
      </c>
      <c r="L52" s="823" t="s">
        <v>4</v>
      </c>
      <c r="M52" s="16" t="s">
        <v>105</v>
      </c>
    </row>
    <row r="53" spans="1:13" ht="30.75" customHeight="1">
      <c r="A53" s="461" t="s">
        <v>106</v>
      </c>
      <c r="B53" s="312" t="s">
        <v>107</v>
      </c>
      <c r="C53" s="825"/>
      <c r="D53" s="825"/>
      <c r="E53" s="4" t="s">
        <v>108</v>
      </c>
      <c r="F53" s="822"/>
      <c r="G53" s="27">
        <v>96</v>
      </c>
      <c r="H53" s="2">
        <f>IF(Equipment!$I$42&gt;=1,ROUNDUP((1+'Data entry'!$C$33)*(1/G53)*'Data entry'!$C$28,0),ROUNDUP((1/$G53)*'Data entry'!$C$28,0))</f>
        <v>1</v>
      </c>
      <c r="I53" s="2">
        <f>IF(Equipment!$I$42&gt;=1,ROUNDUP((1+'Data entry'!$C$33)*(1/$G53)*'Data entry'!$F$28,0),ROUNDUP((1/$G53)*'Data entry'!$F$28,0))</f>
        <v>1</v>
      </c>
      <c r="J53" s="465"/>
      <c r="K53" s="283">
        <v>850</v>
      </c>
      <c r="L53" s="823"/>
      <c r="M53" s="17">
        <v>20051775</v>
      </c>
    </row>
    <row r="54" spans="1:13" ht="15.6">
      <c r="A54" t="s">
        <v>109</v>
      </c>
      <c r="B54" s="298"/>
      <c r="C54" s="825"/>
      <c r="D54" s="825"/>
      <c r="E54" s="483"/>
      <c r="F54" s="822"/>
      <c r="G54" s="488"/>
      <c r="H54" s="326"/>
      <c r="I54" s="326"/>
      <c r="J54" s="465"/>
      <c r="K54" s="494"/>
      <c r="L54" s="823"/>
      <c r="M54" s="484"/>
    </row>
    <row r="55" spans="1:13" ht="15" customHeight="1">
      <c r="B55" s="296" t="s">
        <v>110</v>
      </c>
      <c r="C55" s="825" t="s">
        <v>111</v>
      </c>
      <c r="D55" s="825" t="s">
        <v>112</v>
      </c>
      <c r="E55" s="4" t="s">
        <v>112</v>
      </c>
      <c r="F55" s="840" t="s">
        <v>113</v>
      </c>
      <c r="G55" s="27">
        <v>96</v>
      </c>
      <c r="H55" s="2">
        <f>IF(Equipment!$I$42&gt;=1,ROUNDUP(((1+'Data entry'!$C$33)*((1/G55)*(('Data entry'!$C$16+'Data entry'!$C$16*'Data entry'!$C$23)+$H$50))),0),ROUNDUP((1/G55)*(('Data entry'!$C$16+'Data entry'!$C$16*'Data entry'!$C$23)+$H$50),0))</f>
        <v>7</v>
      </c>
      <c r="I55" s="2">
        <f>IF(Equipment!$I$42&gt;=1,ROUNDUP(((1+'Data entry'!$C$33)*((1/$G55)*(('Data entry'!$F$16+'Data entry'!$F$16*'Data entry'!$F$23)+$I$50))),0),ROUNDUP((1/$G55)*(('Data entry'!$F$16+'Data entry'!$F$16*'Data entry'!$F$23)+$I$50),0))</f>
        <v>4</v>
      </c>
      <c r="J55" s="27">
        <v>384</v>
      </c>
      <c r="K55" s="283">
        <v>4153</v>
      </c>
      <c r="L55" s="823" t="s">
        <v>3</v>
      </c>
      <c r="M55" s="14">
        <v>20060059</v>
      </c>
    </row>
    <row r="56" spans="1:13" ht="32.25" customHeight="1">
      <c r="B56" s="297" t="s">
        <v>114</v>
      </c>
      <c r="C56" s="825"/>
      <c r="D56" s="825"/>
      <c r="E56" s="4" t="s">
        <v>115</v>
      </c>
      <c r="F56" s="840"/>
      <c r="G56" s="27">
        <v>96</v>
      </c>
      <c r="H56" s="2">
        <f>IF(Equipment!$I$42&gt;=1,ROUNDUP(((1+'Data entry'!$C$33)*((1/G56)*(('Data entry'!$C$16+'Data entry'!$C$16*'Data entry'!$C$23)+$H$50))),0),ROUNDUP((1/G56)*(('Data entry'!$C$16+'Data entry'!$C$16*'Data entry'!$C$23)+$H$50),0))</f>
        <v>7</v>
      </c>
      <c r="I56" s="2">
        <f>IF(Equipment!$I$42&gt;=1,ROUNDUP(((1+'Data entry'!$C$33)*((1/$G56)*(('Data entry'!$F$16+'Data entry'!$F$16*'Data entry'!$F$23)+$I$50))),0),ROUNDUP((1/$G56)*(('Data entry'!$F$16+'Data entry'!$F$16*'Data entry'!$F$23)+$I$50),0))</f>
        <v>4</v>
      </c>
      <c r="J56" s="27">
        <v>384</v>
      </c>
      <c r="K56" s="283">
        <v>408</v>
      </c>
      <c r="L56" s="823"/>
      <c r="M56" s="299" t="s">
        <v>116</v>
      </c>
    </row>
    <row r="57" spans="1:13" ht="32.25" customHeight="1">
      <c r="B57" s="297" t="s">
        <v>117</v>
      </c>
      <c r="C57" s="825"/>
      <c r="D57" s="825"/>
      <c r="E57" s="4" t="s">
        <v>118</v>
      </c>
      <c r="F57" s="840"/>
      <c r="G57" s="27">
        <v>100</v>
      </c>
      <c r="H57" s="2">
        <f>IF(Equipment!$I$42&gt;=1,ROUNDUP(((1+'Data entry'!$C$33)*((1/G57)*(('Data entry'!$C$16+'Data entry'!$C$16*'Data entry'!$C$23)+$H$50))),0),ROUNDUP((1/G57)*(('Data entry'!$C$16+'Data entry'!$C$16*'Data entry'!$C$23)+$H$50),0))</f>
        <v>7</v>
      </c>
      <c r="I57" s="2">
        <f>IF(Equipment!$I$42&gt;=1,ROUNDUP(((1+'Data entry'!$C$33)*((1/$G57)*(('Data entry'!$F$16+'Data entry'!$F$16*'Data entry'!$F$23)+$I$50))),0),ROUNDUP((1/$G57)*(('Data entry'!$F$16+'Data entry'!$F$16*'Data entry'!$F$23)+$I$50),0))</f>
        <v>4</v>
      </c>
      <c r="J57" s="465"/>
      <c r="K57" s="283">
        <v>460</v>
      </c>
      <c r="L57" s="823"/>
      <c r="M57" s="299" t="s">
        <v>119</v>
      </c>
    </row>
    <row r="58" spans="1:13" ht="15" customHeight="1">
      <c r="B58" s="298" t="s">
        <v>120</v>
      </c>
      <c r="C58" s="825"/>
      <c r="D58" s="825"/>
      <c r="E58" s="303" t="s">
        <v>121</v>
      </c>
      <c r="F58" s="840"/>
      <c r="G58" s="27">
        <v>1000</v>
      </c>
      <c r="H58" s="2">
        <f>IF(Equipment!$I$42&gt;=1,ROUNDUP(((1+'Data entry'!$C$33)*((1/G58)*(('Data entry'!$C$16+'Data entry'!$C$16*'Data entry'!$C$23)+$H$50))),0),ROUNDUP((1/G58)*(('Data entry'!$C$16+'Data entry'!$C$16*'Data entry'!$C$23)+$H$50),0))</f>
        <v>1</v>
      </c>
      <c r="I58" s="2">
        <f>IF(Equipment!$I$42&gt;=1,ROUNDUP(((1+'Data entry'!$C$33)*((1/$G58)*(('Data entry'!$F$16+'Data entry'!$F$16*'Data entry'!$F$23)+$I$50))),0),ROUNDUP((1/$G58)*(('Data entry'!$F$16+'Data entry'!$F$16*'Data entry'!$F$23)+$I$50),0))</f>
        <v>1</v>
      </c>
      <c r="J58" s="465"/>
      <c r="K58" s="283">
        <v>65</v>
      </c>
      <c r="L58" s="823"/>
      <c r="M58" s="17"/>
    </row>
    <row r="59" spans="1:13" ht="15" customHeight="1">
      <c r="B59" s="293"/>
      <c r="C59" s="846" t="s">
        <v>122</v>
      </c>
      <c r="D59" s="825" t="s">
        <v>123</v>
      </c>
      <c r="E59" s="348" t="s">
        <v>124</v>
      </c>
      <c r="F59" s="837" t="s">
        <v>125</v>
      </c>
      <c r="G59" s="27">
        <v>3072</v>
      </c>
      <c r="H59" s="2">
        <f>IF(Equipment!$I$42&gt;=1,ROUNDUP(((1+'Data entry'!$C$33)*((1/G59)*(('Data entry'!$C$16+'Data entry'!$C$16*'Data entry'!$C$23)+$H$50))),0),ROUNDUP((1/G59)*(('Data entry'!$C$16+'Data entry'!$C$16*'Data entry'!$C$23)+$H$50),0))</f>
        <v>1</v>
      </c>
      <c r="I59" s="2">
        <f>IF(Equipment!$I$42&gt;=1,ROUNDUP(((1+'Data entry'!$C$33)*((1/$G59)*(('Data entry'!$F$16+'Data entry'!$F$16*'Data entry'!$F$23)+$I$50))),0),ROUNDUP((1/$G59)*(('Data entry'!$F$16+'Data entry'!$F$16*'Data entry'!$F$23)+$I$50),0))</f>
        <v>1</v>
      </c>
      <c r="J59" s="27">
        <v>384</v>
      </c>
      <c r="K59" s="283">
        <v>35271.599999999999</v>
      </c>
      <c r="L59" s="823" t="s">
        <v>4</v>
      </c>
      <c r="M59" s="16">
        <v>20043675</v>
      </c>
    </row>
    <row r="60" spans="1:13" ht="34.5" customHeight="1">
      <c r="B60" s="294"/>
      <c r="C60" s="825"/>
      <c r="D60" s="825"/>
      <c r="E60" s="303" t="s">
        <v>126</v>
      </c>
      <c r="F60" s="837"/>
      <c r="G60" s="27">
        <v>384</v>
      </c>
      <c r="H60" s="2">
        <f>IF(Equipment!$I$42&gt;=1,ROUNDUP(((1+'Data entry'!$C$33)*((1/G60)*(('Data entry'!$C$16+'Data entry'!$C$16*'Data entry'!$C$23)+$H$50))),0),ROUNDUP((1/G60)*(('Data entry'!$C$16+'Data entry'!$C$16*'Data entry'!$C$23)+$H$50),0))</f>
        <v>2</v>
      </c>
      <c r="I60" s="2">
        <f>IF(Equipment!$I$42&gt;=1,ROUNDUP(((1+'Data entry'!$C$33)*((1/$G60)*(('Data entry'!$F$16+'Data entry'!$F$16*'Data entry'!$F$23)+$I$50))),0),ROUNDUP((1/$G60)*(('Data entry'!$F$16+'Data entry'!$F$16*'Data entry'!$F$23)+$I$50),0))</f>
        <v>1</v>
      </c>
      <c r="J60" s="27">
        <f>96*4</f>
        <v>384</v>
      </c>
      <c r="K60" s="283">
        <v>1415</v>
      </c>
      <c r="L60" s="823"/>
      <c r="M60" s="16" t="s">
        <v>116</v>
      </c>
    </row>
    <row r="61" spans="1:13" ht="30.75" customHeight="1">
      <c r="A61" t="s">
        <v>109</v>
      </c>
      <c r="B61" s="298"/>
      <c r="C61" s="825"/>
      <c r="D61" s="825"/>
      <c r="E61" s="483"/>
      <c r="F61" s="837"/>
      <c r="G61" s="488"/>
      <c r="H61" s="326"/>
      <c r="I61" s="326"/>
      <c r="J61" s="465"/>
      <c r="K61" s="494"/>
      <c r="L61" s="823"/>
      <c r="M61" s="485"/>
    </row>
    <row r="62" spans="1:13" ht="69" customHeight="1">
      <c r="A62" t="s">
        <v>127</v>
      </c>
      <c r="B62" s="301" t="s">
        <v>128</v>
      </c>
      <c r="C62" s="460" t="s">
        <v>129</v>
      </c>
      <c r="D62" s="460" t="s">
        <v>130</v>
      </c>
      <c r="E62" s="4" t="s">
        <v>131</v>
      </c>
      <c r="F62" s="529" t="s">
        <v>132</v>
      </c>
      <c r="G62" s="2">
        <v>48</v>
      </c>
      <c r="H62" s="2">
        <f>IF(Equipment!$I$42&gt;=1,ROUNDUP(((1+'Data entry'!$C$33)*((1/G62)*(('Data entry'!$C$16+'Data entry'!$C$16*'Data entry'!$C$23)+$H$50))),0),ROUNDUP((1/G62)*(('Data entry'!$C$16+'Data entry'!$C$16*'Data entry'!$C$23)+$H$50),0))</f>
        <v>14</v>
      </c>
      <c r="I62" s="2">
        <f>IF(Equipment!$I$42&gt;=1,ROUNDUP(((1+'Data entry'!$C$33)*((1/$G62)*(('Data entry'!$F$16+'Data entry'!$F$16*'Data entry'!$F$23)+$I$50))),0),ROUNDUP((1/$G62)*(('Data entry'!$F$16+'Data entry'!$F$16*'Data entry'!$F$23)+$I$50),0))</f>
        <v>8</v>
      </c>
      <c r="J62" s="2">
        <v>48</v>
      </c>
      <c r="K62" s="283">
        <v>1468.8</v>
      </c>
      <c r="L62" s="463" t="s">
        <v>4</v>
      </c>
      <c r="M62" s="14">
        <v>20106305</v>
      </c>
    </row>
    <row r="63" spans="1:13" ht="30" customHeight="1">
      <c r="A63" t="s">
        <v>133</v>
      </c>
      <c r="B63" s="296" t="s">
        <v>134</v>
      </c>
      <c r="C63" s="825" t="s">
        <v>111</v>
      </c>
      <c r="D63" s="825" t="s">
        <v>135</v>
      </c>
      <c r="E63" s="4" t="s">
        <v>136</v>
      </c>
      <c r="F63" s="834" t="s">
        <v>137</v>
      </c>
      <c r="G63" s="2">
        <v>48</v>
      </c>
      <c r="H63" s="2">
        <f>IF(Equipment!$I$42&gt;=1,ROUNDUP(((1+'Data entry'!$C$33)*((1/G63)*(('Data entry'!$C$16+'Data entry'!$C$16*'Data entry'!$C$23)+$H$50))),0),ROUNDUP((1/G63)*(('Data entry'!$C$16+'Data entry'!$C$16*'Data entry'!$C$23)+$H$50),0))</f>
        <v>14</v>
      </c>
      <c r="I63" s="2">
        <f>IF(Equipment!$I$42&gt;=1,ROUNDUP(((1+'Data entry'!$C$33)*((1/$G63)*(('Data entry'!$F$16+'Data entry'!$F$16*'Data entry'!$F$23)+$I$50))),0),ROUNDUP((1/$G63)*(('Data entry'!$F$16+'Data entry'!$F$16*'Data entry'!$F$23)+$I$50),0))</f>
        <v>8</v>
      </c>
      <c r="J63" s="2">
        <v>48</v>
      </c>
      <c r="K63" s="283">
        <v>1428</v>
      </c>
      <c r="L63" s="823" t="s">
        <v>4</v>
      </c>
      <c r="M63" s="14">
        <v>20097857</v>
      </c>
    </row>
    <row r="64" spans="1:13" ht="30" customHeight="1">
      <c r="B64" s="297" t="s">
        <v>117</v>
      </c>
      <c r="C64" s="825"/>
      <c r="D64" s="825"/>
      <c r="E64" s="4" t="s">
        <v>118</v>
      </c>
      <c r="F64" s="834"/>
      <c r="G64" s="27">
        <v>100</v>
      </c>
      <c r="H64" s="2">
        <f>IF(Equipment!$I$42&gt;=1,ROUNDUP(((1+'Data entry'!$C$33)*((1/G64)*(('Data entry'!$C$16+'Data entry'!$C$16*'Data entry'!$C$23)+$H$50))),0),ROUNDUP((1/G64)*(('Data entry'!$C$16+'Data entry'!$C$16*'Data entry'!$C$23)+$H$50),0))</f>
        <v>7</v>
      </c>
      <c r="I64" s="2">
        <f>IF(Equipment!$I$42&gt;=1,ROUNDUP(((1+'Data entry'!$C$33)*((1/$G64)*(('Data entry'!$F$16+'Data entry'!$F$16*'Data entry'!$F$23)+$I$50))),0),ROUNDUP((1/$G64)*(('Data entry'!$F$16+'Data entry'!$F$16*'Data entry'!$F$23)+$I$50),0))</f>
        <v>4</v>
      </c>
      <c r="J64" s="465"/>
      <c r="K64" s="283">
        <v>460</v>
      </c>
      <c r="L64" s="823"/>
      <c r="M64" s="299" t="s">
        <v>119</v>
      </c>
    </row>
    <row r="65" spans="1:13" ht="14.25" customHeight="1">
      <c r="B65" s="298" t="s">
        <v>120</v>
      </c>
      <c r="C65" s="825"/>
      <c r="D65" s="825"/>
      <c r="E65" s="303" t="s">
        <v>121</v>
      </c>
      <c r="F65" s="834"/>
      <c r="G65" s="27">
        <v>1000</v>
      </c>
      <c r="H65" s="2">
        <f>IF(Equipment!$I$42&gt;=1,ROUNDUP(((1+'Data entry'!$C$33)*((1/G65)*(('Data entry'!$C$16+'Data entry'!$C$16*'Data entry'!$C$23)+$H$50))),0),ROUNDUP((1/G65)*(('Data entry'!$C$16+'Data entry'!$C$16*'Data entry'!$C$23)+$H$50),0))</f>
        <v>1</v>
      </c>
      <c r="I65" s="2">
        <f>IF(Equipment!$I$42&gt;=1,ROUNDUP(((1+'Data entry'!$C$33)*((1/$G65)*(('Data entry'!$F$16+'Data entry'!$F$16*'Data entry'!$F$23)+$I$50))),0),ROUNDUP((1/$G65)*(('Data entry'!$F$16+'Data entry'!$F$16*'Data entry'!$F$23)+$I$50),0))</f>
        <v>1</v>
      </c>
      <c r="J65" s="465"/>
      <c r="K65" s="283">
        <v>65</v>
      </c>
      <c r="L65" s="823"/>
      <c r="M65" s="17"/>
    </row>
    <row r="66" spans="1:13" ht="28.8">
      <c r="A66" s="464" t="s">
        <v>138</v>
      </c>
      <c r="B66" s="301" t="s">
        <v>139</v>
      </c>
      <c r="C66" s="460" t="s">
        <v>140</v>
      </c>
      <c r="D66" s="460" t="s">
        <v>141</v>
      </c>
      <c r="E66" s="4" t="s">
        <v>142</v>
      </c>
      <c r="F66" s="495" t="s">
        <v>143</v>
      </c>
      <c r="G66" s="2">
        <v>96</v>
      </c>
      <c r="H66" s="2">
        <f>IF(Equipment!$I$42&gt;=1,ROUNDUP(((1+'Data entry'!$C$33)*((1/G66)*(('Data entry'!$C$16+'Data entry'!$C$16*'Data entry'!$C$23)+$H$50))),0),ROUNDUP((1/G66)*(('Data entry'!$C$16+'Data entry'!$C$16*'Data entry'!$C$23)+$H$50),0))</f>
        <v>7</v>
      </c>
      <c r="I66" s="2">
        <f>IF(Equipment!$I$42&gt;=1,ROUNDUP(((1+'Data entry'!$C$33)*((1/$G66)*(('Data entry'!$F$16+'Data entry'!$F$16*'Data entry'!$F$23)+$I$50))),0),ROUNDUP((1/$G66)*(('Data entry'!$F$16+'Data entry'!$F$16*'Data entry'!$F$23)+$I$50),0))</f>
        <v>4</v>
      </c>
      <c r="J66" s="2">
        <v>384</v>
      </c>
      <c r="K66" s="283">
        <f>8812.8</f>
        <v>8812.7999999999993</v>
      </c>
      <c r="L66" s="496" t="s">
        <v>4</v>
      </c>
      <c r="M66" s="327" t="s">
        <v>144</v>
      </c>
    </row>
    <row r="67" spans="1:13" ht="28.8">
      <c r="A67" t="s">
        <v>145</v>
      </c>
      <c r="B67" s="293"/>
      <c r="C67" s="825" t="s">
        <v>111</v>
      </c>
      <c r="D67" s="825" t="s">
        <v>146</v>
      </c>
      <c r="E67" s="4" t="s">
        <v>147</v>
      </c>
      <c r="F67" s="822" t="s">
        <v>148</v>
      </c>
      <c r="G67" s="2">
        <v>96</v>
      </c>
      <c r="H67" s="2">
        <f>IF(Equipment!$I$42&gt;=1,ROUNDUP(((1+'Data entry'!$C$33)*((1/G67)*(('Data entry'!$C$16+'Data entry'!$C$16*'Data entry'!$C$23)+$H$50))),0),ROUNDUP((1/G67)*(('Data entry'!$C$16+'Data entry'!$C$16*'Data entry'!$C$23)+$H$50),0))</f>
        <v>7</v>
      </c>
      <c r="I67" s="2">
        <f>IF(Equipment!$I$42&gt;=1,ROUNDUP(((1+'Data entry'!$C$33)*((1/$G67)*(('Data entry'!$F$16+'Data entry'!$F$16*'Data entry'!$F$23)+$I$50))),0),ROUNDUP((1/$G67)*(('Data entry'!$F$16+'Data entry'!$F$16*'Data entry'!$F$23)+$I$50),0))</f>
        <v>4</v>
      </c>
      <c r="J67" s="2">
        <v>384</v>
      </c>
      <c r="K67" s="283">
        <v>3435</v>
      </c>
      <c r="L67" s="841" t="s">
        <v>3</v>
      </c>
      <c r="M67" s="327" t="s">
        <v>149</v>
      </c>
    </row>
    <row r="68" spans="1:13" ht="28.8">
      <c r="B68" s="297" t="s">
        <v>150</v>
      </c>
      <c r="C68" s="825"/>
      <c r="D68" s="825"/>
      <c r="E68" s="35" t="s">
        <v>151</v>
      </c>
      <c r="F68" s="822"/>
      <c r="G68" s="27">
        <v>96</v>
      </c>
      <c r="H68" s="2">
        <f>IF(Equipment!$I$42&gt;=1,ROUNDUP(((1+'Data entry'!$C$33)*((1/G68)*(('Data entry'!$C$16+'Data entry'!$C$16*'Data entry'!$C$23)+$H$50))),0),ROUNDUP((1/G68)*(('Data entry'!$C$16+'Data entry'!$C$16*'Data entry'!$C$23)+$H$50),0))</f>
        <v>7</v>
      </c>
      <c r="I68" s="2">
        <f>IF(Equipment!$I$42&gt;=1,ROUNDUP(((1+'Data entry'!$C$33)*((1/$G68)*(('Data entry'!$F$16+'Data entry'!$F$16*'Data entry'!$F$23)+$I$50))),0),ROUNDUP((1/$G68)*(('Data entry'!$F$16+'Data entry'!$F$16*'Data entry'!$F$23)+$I$50),0))</f>
        <v>4</v>
      </c>
      <c r="J68" s="2">
        <v>384</v>
      </c>
      <c r="K68" s="283">
        <v>408</v>
      </c>
      <c r="L68" s="841"/>
      <c r="M68" s="327" t="s">
        <v>116</v>
      </c>
    </row>
    <row r="69" spans="1:13" ht="33" customHeight="1">
      <c r="B69" s="297" t="s">
        <v>117</v>
      </c>
      <c r="C69" s="825"/>
      <c r="D69" s="825"/>
      <c r="E69" s="4" t="s">
        <v>118</v>
      </c>
      <c r="F69" s="822"/>
      <c r="G69" s="27">
        <v>100</v>
      </c>
      <c r="H69" s="2">
        <f>IF(Equipment!$I$42&gt;=1,ROUNDUP(((1+'Data entry'!$C$33)*((1/G69)*(('Data entry'!$C$16+'Data entry'!$C$16*'Data entry'!$C$23)+$H$50))),0),ROUNDUP((1/G69)*(('Data entry'!$C$16+'Data entry'!$C$16*'Data entry'!$C$23)+$H$50),0))</f>
        <v>7</v>
      </c>
      <c r="I69" s="2">
        <f>IF(Equipment!$I$42&gt;=1,ROUNDUP(((1+'Data entry'!$C$33)*((1/$G69)*(('Data entry'!$F$16+'Data entry'!$F$16*'Data entry'!$F$23)+$I$50))),0),ROUNDUP((1/$G69)*(('Data entry'!$F$16+'Data entry'!$F$16*'Data entry'!$F$23)+$I$50),0))</f>
        <v>4</v>
      </c>
      <c r="J69" s="465"/>
      <c r="K69" s="283">
        <v>460</v>
      </c>
      <c r="L69" s="841"/>
      <c r="M69" s="299" t="s">
        <v>119</v>
      </c>
    </row>
    <row r="70" spans="1:13" ht="30.75" customHeight="1">
      <c r="B70" s="298" t="s">
        <v>120</v>
      </c>
      <c r="C70" s="825"/>
      <c r="D70" s="825"/>
      <c r="E70" s="303" t="s">
        <v>121</v>
      </c>
      <c r="F70" s="822"/>
      <c r="G70" s="27">
        <v>1000</v>
      </c>
      <c r="H70" s="2">
        <f>IF(Equipment!$I$42&gt;=1,ROUNDUP(((1+'Data entry'!$C$33)*((1/G70)*(('Data entry'!$C$16+'Data entry'!$C$16*'Data entry'!$C$23)+$H$50))),0),ROUNDUP((1/G70)*(('Data entry'!$C$16+'Data entry'!$C$16*'Data entry'!$C$23)+$H$50),0))</f>
        <v>1</v>
      </c>
      <c r="I70" s="2">
        <f>IF(Equipment!$I$42&gt;=1,ROUNDUP(((1+'Data entry'!$C$33)*((1/$G70)*(('Data entry'!$F$16+'Data entry'!$F$16*'Data entry'!$F$23)+$I$50))),0),ROUNDUP((1/$G70)*(('Data entry'!$F$16+'Data entry'!$F$16*'Data entry'!$F$23)+$I$50),0))</f>
        <v>1</v>
      </c>
      <c r="J70" s="465"/>
      <c r="K70" s="283">
        <v>65</v>
      </c>
      <c r="L70" s="841"/>
      <c r="M70" s="17"/>
    </row>
    <row r="71" spans="1:13" ht="30.75" customHeight="1">
      <c r="A71" t="s">
        <v>152</v>
      </c>
      <c r="B71" s="296" t="s">
        <v>153</v>
      </c>
      <c r="C71" s="825" t="s">
        <v>154</v>
      </c>
      <c r="D71" s="825" t="s">
        <v>155</v>
      </c>
      <c r="E71" s="4" t="s">
        <v>156</v>
      </c>
      <c r="F71" s="822" t="s">
        <v>157</v>
      </c>
      <c r="G71" s="2">
        <v>96</v>
      </c>
      <c r="H71" s="2">
        <f>IF(Equipment!$I$42&gt;=1,ROUNDUP(((1+'Data entry'!$C$33)*((1/G71)*(('Data entry'!$C$16+'Data entry'!$C$16*'Data entry'!$C$23)+$H$50))),0),ROUNDUP((1/G71)*(('Data entry'!$C$16+'Data entry'!$C$16*'Data entry'!$C$23)+$H$50),0))</f>
        <v>7</v>
      </c>
      <c r="I71" s="2">
        <f>IF(Equipment!$I$42&gt;=1,ROUNDUP(((1+'Data entry'!$C$33)*((1/$G71)*(('Data entry'!$F$16+'Data entry'!$F$16*'Data entry'!$F$23)+$I$50))),0),ROUNDUP((1/$G71)*(('Data entry'!$F$16+'Data entry'!$F$16*'Data entry'!$F$23)+$I$50),0))</f>
        <v>4</v>
      </c>
      <c r="J71" s="2">
        <v>384</v>
      </c>
      <c r="K71" s="283">
        <v>13579</v>
      </c>
      <c r="L71" s="841" t="s">
        <v>4</v>
      </c>
      <c r="M71" s="327" t="s">
        <v>158</v>
      </c>
    </row>
    <row r="72" spans="1:13" ht="15.6">
      <c r="B72" s="295"/>
      <c r="C72" s="825"/>
      <c r="D72" s="825"/>
      <c r="E72" s="35" t="s">
        <v>159</v>
      </c>
      <c r="F72" s="822"/>
      <c r="G72" s="27">
        <v>200</v>
      </c>
      <c r="H72" s="2">
        <f>IF(Equipment!$I$42&gt;=1,ROUNDUP(((1+'Data entry'!$C$33)*((1/G72)*(('Data entry'!$C$16+'Data entry'!$C$16*'Data entry'!$C$23)+$H$50))),0),ROUNDUP((1/G72)*(('Data entry'!$C$16+'Data entry'!$C$16*'Data entry'!$C$23)+$H$50),0))</f>
        <v>4</v>
      </c>
      <c r="I72" s="2">
        <f>IF(Equipment!$I$42&gt;=1,ROUNDUP(((1+'Data entry'!$C$33)*((1/$G72)*(('Data entry'!$F$16+'Data entry'!$F$16*'Data entry'!$F$23)+$I$50))),0),ROUNDUP((1/$G72)*(('Data entry'!$F$16+'Data entry'!$F$16*'Data entry'!$F$23)+$I$50),0))</f>
        <v>2</v>
      </c>
      <c r="J72" s="488"/>
      <c r="K72" s="283">
        <v>2031</v>
      </c>
      <c r="L72" s="841"/>
      <c r="M72" s="17" t="s">
        <v>160</v>
      </c>
    </row>
    <row r="73" spans="1:13" ht="28.8">
      <c r="A73" t="s">
        <v>161</v>
      </c>
      <c r="B73" s="307" t="s">
        <v>162</v>
      </c>
      <c r="C73" s="327" t="s">
        <v>163</v>
      </c>
      <c r="D73" s="4" t="s">
        <v>164</v>
      </c>
      <c r="E73" s="4" t="s">
        <v>165</v>
      </c>
      <c r="F73" s="495" t="s">
        <v>166</v>
      </c>
      <c r="G73" s="2">
        <v>96</v>
      </c>
      <c r="H73" s="2">
        <f>IF(Equipment!$I$42&gt;=1,ROUNDUP(((1+'Data entry'!$C$33)*((1/G73)*(('Data entry'!$C$16+'Data entry'!$C$16*'Data entry'!$C$23)+$H$50))),0),ROUNDUP((1/G73)*(('Data entry'!$C$16+'Data entry'!$C$16*'Data entry'!$C$23)+$H$50),0))</f>
        <v>7</v>
      </c>
      <c r="I73" s="2">
        <f>IF(Equipment!$I$42&gt;=1,ROUNDUP(((1+'Data entry'!$C$33)*((1/$G73)*(('Data entry'!$F$16+'Data entry'!$F$16*'Data entry'!$F$23)+$I$50))),0),ROUNDUP((1/$G73)*(('Data entry'!$F$16+'Data entry'!$F$16*'Data entry'!$F$23)+$I$50),0))</f>
        <v>4</v>
      </c>
      <c r="J73" s="2">
        <v>384</v>
      </c>
      <c r="K73" s="308">
        <v>13350</v>
      </c>
      <c r="L73" s="496" t="s">
        <v>4</v>
      </c>
      <c r="M73" s="4" t="s">
        <v>167</v>
      </c>
    </row>
    <row r="74" spans="1:13" ht="30" customHeight="1">
      <c r="A74" t="s">
        <v>168</v>
      </c>
      <c r="B74" s="311" t="s">
        <v>169</v>
      </c>
      <c r="C74" s="842" t="s">
        <v>111</v>
      </c>
      <c r="D74" s="825" t="s">
        <v>170</v>
      </c>
      <c r="E74" s="4" t="s">
        <v>171</v>
      </c>
      <c r="F74" s="843" t="s">
        <v>172</v>
      </c>
      <c r="G74" s="2">
        <v>96</v>
      </c>
      <c r="H74" s="2">
        <f>IF(Equipment!$I$42&gt;=1,ROUNDUP(((1+'Data entry'!$C$33)*((1/G74)*(('Data entry'!$C$16+'Data entry'!$C$16*'Data entry'!$C$23)+$H$50))),0),ROUNDUP((1/G74)*(('Data entry'!$C$16+'Data entry'!$C$16*'Data entry'!$C$23)+$H$50),0))</f>
        <v>7</v>
      </c>
      <c r="I74" s="2">
        <f>IF(Equipment!$I$42&gt;=1,ROUNDUP(((1+'Data entry'!$C$33)*((1/$G74)*(('Data entry'!$F$16+'Data entry'!$F$16*'Data entry'!$F$23)+$I$50))),0),ROUNDUP((1/$G74)*(('Data entry'!$F$16+'Data entry'!$F$16*'Data entry'!$F$23)+$I$50),0))</f>
        <v>4</v>
      </c>
      <c r="J74" s="2">
        <v>96</v>
      </c>
      <c r="K74" s="308">
        <v>2532</v>
      </c>
      <c r="L74" s="841" t="s">
        <v>3</v>
      </c>
      <c r="M74" s="2" t="s">
        <v>173</v>
      </c>
    </row>
    <row r="75" spans="1:13" ht="28.8">
      <c r="B75" s="310"/>
      <c r="C75" s="842"/>
      <c r="D75" s="825"/>
      <c r="E75" s="4" t="s">
        <v>174</v>
      </c>
      <c r="F75" s="843"/>
      <c r="G75" s="2">
        <v>96</v>
      </c>
      <c r="H75" s="2">
        <f>IF(Equipment!$I$42&gt;=1,ROUNDUP(((1+'Data entry'!$C$33)*((1/G75)*(('Data entry'!$C$16+'Data entry'!$C$16*'Data entry'!$C$23)+$H$50))),0),ROUNDUP((1/G75)*(('Data entry'!$C$16+'Data entry'!$C$16*'Data entry'!$C$23)+$H$50),0))</f>
        <v>7</v>
      </c>
      <c r="I75" s="2">
        <f>IF(Equipment!$I$42&gt;=1,ROUNDUP(((1+'Data entry'!$C$33)*((1/$G75)*(('Data entry'!$F$16+'Data entry'!$F$16*'Data entry'!$F$23)+$I$50))),0),ROUNDUP((1/$G75)*(('Data entry'!$F$16+'Data entry'!$F$16*'Data entry'!$F$23)+$I$50),0))</f>
        <v>4</v>
      </c>
      <c r="J75" s="2">
        <v>96</v>
      </c>
      <c r="K75" s="308">
        <v>625</v>
      </c>
      <c r="L75" s="841"/>
      <c r="M75" s="14" t="s">
        <v>175</v>
      </c>
    </row>
    <row r="76" spans="1:13" ht="15.6">
      <c r="B76" s="297" t="s">
        <v>117</v>
      </c>
      <c r="C76" s="842"/>
      <c r="D76" s="825"/>
      <c r="E76" s="4" t="s">
        <v>118</v>
      </c>
      <c r="F76" s="843"/>
      <c r="G76" s="27">
        <v>100</v>
      </c>
      <c r="H76" s="2">
        <f>IF(Equipment!$I$42&gt;=1,ROUNDUP(((1+'Data entry'!$C$33)*((1/G76)*(('Data entry'!$C$16+'Data entry'!$C$16*'Data entry'!$C$23)+$H$50))),0),ROUNDUP((1/G76)*(('Data entry'!$C$16+'Data entry'!$C$16*'Data entry'!$C$23)+$H$50),0))</f>
        <v>7</v>
      </c>
      <c r="I76" s="2">
        <f>IF(Equipment!$I$42&gt;=1,ROUNDUP(((1+'Data entry'!$C$33)*((1/$G76)*(('Data entry'!$F$16+'Data entry'!$F$16*'Data entry'!$F$23)+$I$50))),0),ROUNDUP((1/$G76)*(('Data entry'!$F$16+'Data entry'!$F$16*'Data entry'!$F$23)+$I$50),0))</f>
        <v>4</v>
      </c>
      <c r="J76" s="465"/>
      <c r="K76" s="283">
        <v>460</v>
      </c>
      <c r="L76" s="841"/>
      <c r="M76" s="299" t="s">
        <v>119</v>
      </c>
    </row>
    <row r="77" spans="1:13" ht="15.6">
      <c r="B77" s="298" t="s">
        <v>120</v>
      </c>
      <c r="C77" s="842"/>
      <c r="D77" s="825"/>
      <c r="E77" s="303" t="s">
        <v>121</v>
      </c>
      <c r="F77" s="843"/>
      <c r="G77" s="27">
        <v>1000</v>
      </c>
      <c r="H77" s="2">
        <f>IF(Equipment!$I$42&gt;=1,ROUNDUP(((1+'Data entry'!$C$33)*((1/G77)*(('Data entry'!$C$16+'Data entry'!$C$16*'Data entry'!$C$23)+$H$50))),0),ROUNDUP((1/G77)*(('Data entry'!$C$16+'Data entry'!$C$16*'Data entry'!$C$23)+$H$50),0))</f>
        <v>1</v>
      </c>
      <c r="I77" s="2">
        <f>IF(Equipment!$I$42&gt;=1,ROUNDUP(((1+'Data entry'!$C$33)*((1/$G77)*(('Data entry'!$F$16+'Data entry'!$F$16*'Data entry'!$F$23)+$I$50))),0),ROUNDUP((1/$G77)*(('Data entry'!$F$16+'Data entry'!$F$16*'Data entry'!$F$23)+$I$50),0))</f>
        <v>1</v>
      </c>
      <c r="J77" s="465"/>
      <c r="K77" s="283">
        <v>65</v>
      </c>
      <c r="L77" s="841"/>
      <c r="M77" s="17"/>
    </row>
    <row r="78" spans="1:13" ht="45" customHeight="1">
      <c r="B78" s="296" t="s">
        <v>176</v>
      </c>
      <c r="C78" s="825" t="s">
        <v>177</v>
      </c>
      <c r="D78" s="822" t="s">
        <v>178</v>
      </c>
      <c r="E78" s="325" t="s">
        <v>179</v>
      </c>
      <c r="F78" s="844" t="s">
        <v>180</v>
      </c>
      <c r="G78" s="27">
        <v>48</v>
      </c>
      <c r="H78" s="2">
        <f>IF(Equipment!$I$42&gt;=1,ROUNDUP(((1+'Data entry'!$C$33)*((1/G78)*(('Data entry'!$C$16+'Data entry'!$C$16*'Data entry'!$C$23)+$H$50))),0),ROUNDUP((1/G78)*(('Data entry'!$C$16+'Data entry'!$C$16*'Data entry'!$C$23)+$H$50),0))</f>
        <v>14</v>
      </c>
      <c r="I78" s="2">
        <f>IF(Equipment!$I$42&gt;=1,ROUNDUP(((1+'Data entry'!$C$33)*((1/$G78)*(('Data entry'!$F$16+'Data entry'!$F$16*'Data entry'!$F$23)+$I$50))),0),ROUNDUP((1/$G78)*(('Data entry'!$F$16+'Data entry'!$F$16*'Data entry'!$F$23)+$I$50),0))</f>
        <v>8</v>
      </c>
      <c r="J78" s="27">
        <v>384</v>
      </c>
      <c r="K78" s="481">
        <v>3468</v>
      </c>
      <c r="L78" s="823" t="s">
        <v>75</v>
      </c>
      <c r="M78" s="16" t="s">
        <v>181</v>
      </c>
    </row>
    <row r="79" spans="1:13" ht="29.1">
      <c r="B79" s="316" t="s">
        <v>182</v>
      </c>
      <c r="C79" s="825"/>
      <c r="D79" s="822"/>
      <c r="E79" s="325" t="s">
        <v>112</v>
      </c>
      <c r="F79" s="844"/>
      <c r="G79" s="27">
        <v>96</v>
      </c>
      <c r="H79" s="2">
        <f>IF(Equipment!$I$42&gt;=1,ROUNDUP(((1+'Data entry'!$C$33)*((1/G79)*(('Data entry'!$C$16+'Data entry'!$C$16*'Data entry'!$C$23)+$H$50))),0),ROUNDUP((1/G79)*(('Data entry'!$C$16+'Data entry'!$C$16*'Data entry'!$C$23)+$H$50),0))</f>
        <v>7</v>
      </c>
      <c r="I79" s="2">
        <f>IF(Equipment!$I$42&gt;=1,ROUNDUP(((1+'Data entry'!$C$33)*((1/$G79)*(('Data entry'!$F$16+'Data entry'!$F$16*'Data entry'!$F$23)+$I$50))),0),ROUNDUP((1/$G79)*(('Data entry'!$F$16+'Data entry'!$F$16*'Data entry'!$F$23)+$I$50),0))</f>
        <v>4</v>
      </c>
      <c r="J79" s="326"/>
      <c r="K79" s="481">
        <v>0</v>
      </c>
      <c r="L79" s="823"/>
      <c r="M79" s="16">
        <v>20060059</v>
      </c>
    </row>
    <row r="80" spans="1:13" ht="31.2">
      <c r="B80" s="297"/>
      <c r="C80" s="825"/>
      <c r="D80" s="822"/>
      <c r="E80" s="325" t="s">
        <v>115</v>
      </c>
      <c r="F80" s="844"/>
      <c r="G80" s="27">
        <v>96</v>
      </c>
      <c r="H80" s="2">
        <f>IF(Equipment!$I$42&gt;=1,ROUNDUP(((1+'Data entry'!$C$33)*((1/G80)*(('Data entry'!$C$16+'Data entry'!$C$16*'Data entry'!$C$23)+$H$50))),0),ROUNDUP((1/G80)*(('Data entry'!$C$16+'Data entry'!$C$16*'Data entry'!$C$23)+$H$50),0))</f>
        <v>7</v>
      </c>
      <c r="I80" s="2">
        <f>IF(Equipment!$I$42&gt;=1,ROUNDUP(((1+'Data entry'!$C$33)*((1/$G80)*(('Data entry'!$F$16+'Data entry'!$F$16*'Data entry'!$F$23)+$I$50))),0),ROUNDUP((1/$G80)*(('Data entry'!$F$16+'Data entry'!$F$16*'Data entry'!$F$23)+$I$50),0))</f>
        <v>4</v>
      </c>
      <c r="J80" s="27">
        <v>384</v>
      </c>
      <c r="K80" s="481">
        <v>0</v>
      </c>
      <c r="L80" s="823"/>
      <c r="M80" s="299" t="s">
        <v>116</v>
      </c>
    </row>
    <row r="81" spans="2:13" ht="15.6">
      <c r="B81" s="297"/>
      <c r="C81" s="825"/>
      <c r="D81" s="822"/>
      <c r="E81" s="35" t="s">
        <v>159</v>
      </c>
      <c r="F81" s="844"/>
      <c r="G81" s="27">
        <v>200</v>
      </c>
      <c r="H81" s="2">
        <f>IF(Equipment!$I$42&gt;=1,ROUNDUP(((1+'Data entry'!$C$33)*((1/G81)*(('Data entry'!$C$16+'Data entry'!$C$16*'Data entry'!$C$23)+$H$50))),0),ROUNDUP((1/G81)*(('Data entry'!$C$16+'Data entry'!$C$16*'Data entry'!$C$23)+$H$50),0))</f>
        <v>4</v>
      </c>
      <c r="I81" s="2">
        <f>IF(Equipment!$I$42&gt;=1,ROUNDUP(((1+'Data entry'!$C$33)*((1/$G81)*(('Data entry'!$F$16+'Data entry'!$F$16*'Data entry'!$F$23)+$I$50))),0),ROUNDUP((1/$G81)*(('Data entry'!$F$16+'Data entry'!$F$16*'Data entry'!$F$23)+$I$50),0))</f>
        <v>2</v>
      </c>
      <c r="J81" s="326"/>
      <c r="K81" s="283">
        <v>2031</v>
      </c>
      <c r="L81" s="823"/>
      <c r="M81" s="17" t="s">
        <v>160</v>
      </c>
    </row>
    <row r="82" spans="2:13" ht="45.75" customHeight="1">
      <c r="B82" s="296" t="s">
        <v>183</v>
      </c>
      <c r="C82" s="825" t="s">
        <v>177</v>
      </c>
      <c r="D82" s="822" t="s">
        <v>184</v>
      </c>
      <c r="E82" s="325" t="s">
        <v>185</v>
      </c>
      <c r="F82" s="844" t="s">
        <v>180</v>
      </c>
      <c r="G82" s="27">
        <v>48</v>
      </c>
      <c r="H82" s="2">
        <f>IF(Equipment!$I$42&gt;=1,ROUNDUP(((1+'Data entry'!$C$33)*((1/G82)*(('Data entry'!$C$16+'Data entry'!$C$16*'Data entry'!$C$23)+$H$50))),0),ROUNDUP((1/G82)*(('Data entry'!$C$16+'Data entry'!$C$16*'Data entry'!$C$23)+$H$50),0))</f>
        <v>14</v>
      </c>
      <c r="I82" s="2">
        <f>IF(Equipment!$I$42&gt;=1,ROUNDUP(((1+'Data entry'!$C$33)*((1/$G82)*(('Data entry'!$F$16+'Data entry'!$F$16*'Data entry'!$F$23)+$I$50))),0),ROUNDUP((1/$G82)*(('Data entry'!$F$16+'Data entry'!$F$16*'Data entry'!$F$23)+$I$50),0))</f>
        <v>8</v>
      </c>
      <c r="J82" s="27">
        <v>384</v>
      </c>
      <c r="K82" s="481">
        <v>3468</v>
      </c>
      <c r="L82" s="823" t="s">
        <v>75</v>
      </c>
      <c r="M82" s="16" t="s">
        <v>181</v>
      </c>
    </row>
    <row r="83" spans="2:13" ht="30" customHeight="1">
      <c r="B83" s="316" t="s">
        <v>182</v>
      </c>
      <c r="C83" s="825"/>
      <c r="D83" s="822"/>
      <c r="E83" s="325" t="s">
        <v>147</v>
      </c>
      <c r="F83" s="844"/>
      <c r="G83" s="27">
        <v>96</v>
      </c>
      <c r="H83" s="2">
        <f>IF(Equipment!$I$42&gt;=1,ROUNDUP(((1+'Data entry'!$C$33)*((1/G83)*(('Data entry'!$C$16+'Data entry'!$C$16*'Data entry'!$C$23)+$H$50))),0),ROUNDUP((1/G83)*(('Data entry'!$C$16+'Data entry'!$C$16*'Data entry'!$C$23)+$H$50),0))</f>
        <v>7</v>
      </c>
      <c r="I83" s="2">
        <f>IF(Equipment!$I$42&gt;=1,ROUNDUP(((1+'Data entry'!$C$33)*((1/$G83)*(('Data entry'!$F$16+'Data entry'!$F$16*'Data entry'!$F$23)+$I$50))),0),ROUNDUP((1/$G83)*(('Data entry'!$F$16+'Data entry'!$F$16*'Data entry'!$F$23)+$I$50),0))</f>
        <v>4</v>
      </c>
      <c r="J83" s="326"/>
      <c r="K83" s="481">
        <v>0</v>
      </c>
      <c r="L83" s="823"/>
      <c r="M83" s="16" t="s">
        <v>186</v>
      </c>
    </row>
    <row r="84" spans="2:13" ht="30" customHeight="1">
      <c r="B84" s="297"/>
      <c r="C84" s="825"/>
      <c r="D84" s="822"/>
      <c r="E84" s="325" t="s">
        <v>187</v>
      </c>
      <c r="F84" s="844"/>
      <c r="G84" s="27">
        <v>96</v>
      </c>
      <c r="H84" s="2">
        <f>IF(Equipment!$I$42&gt;=1,ROUNDUP(((1+'Data entry'!$C$33)*((1/G84)*(('Data entry'!$C$16+'Data entry'!$C$16*'Data entry'!$C$23)+$H$50))),0),ROUNDUP((1/G84)*(('Data entry'!$C$16+'Data entry'!$C$16*'Data entry'!$C$23)+$H$50),0))</f>
        <v>7</v>
      </c>
      <c r="I84" s="2">
        <f>IF(Equipment!$I$42&gt;=1,ROUNDUP(((1+'Data entry'!$C$33)*((1/$G84)*(('Data entry'!$F$16+'Data entry'!$F$16*'Data entry'!$F$23)+$I$50))),0),ROUNDUP((1/$G84)*(('Data entry'!$F$16+'Data entry'!$F$16*'Data entry'!$F$23)+$I$50),0))</f>
        <v>4</v>
      </c>
      <c r="J84" s="27">
        <v>384</v>
      </c>
      <c r="K84" s="481">
        <v>0</v>
      </c>
      <c r="L84" s="823"/>
      <c r="M84" s="299" t="s">
        <v>188</v>
      </c>
    </row>
    <row r="85" spans="2:13" ht="15.6">
      <c r="B85" s="298"/>
      <c r="C85" s="825"/>
      <c r="D85" s="822"/>
      <c r="E85" s="35" t="s">
        <v>159</v>
      </c>
      <c r="F85" s="844"/>
      <c r="G85" s="27">
        <v>200</v>
      </c>
      <c r="H85" s="2">
        <f>IF(Equipment!$I$42&gt;=1,ROUNDUP(((1+'Data entry'!$C$33)*((1/G85)*(('Data entry'!$C$16+'Data entry'!$C$16*'Data entry'!$C$23)+$H$50))),0),ROUNDUP((1/G85)*(('Data entry'!$C$16+'Data entry'!$C$16*'Data entry'!$C$23)+$H$50),0))</f>
        <v>4</v>
      </c>
      <c r="I85" s="2">
        <f>IF(Equipment!$I$42&gt;=1,ROUNDUP(((1+'Data entry'!$C$33)*((1/$G85)*(('Data entry'!$F$16+'Data entry'!$F$16*'Data entry'!$F$23)+$I$50))),0),ROUNDUP((1/$G85)*(('Data entry'!$F$16+'Data entry'!$F$16*'Data entry'!$F$23)+$I$50),0))</f>
        <v>2</v>
      </c>
      <c r="J85" s="326"/>
      <c r="K85" s="283">
        <v>2031</v>
      </c>
      <c r="L85" s="823"/>
      <c r="M85" s="17" t="s">
        <v>160</v>
      </c>
    </row>
    <row r="86" spans="2:13" ht="30" customHeight="1">
      <c r="B86" s="309"/>
      <c r="C86" s="847" t="s">
        <v>122</v>
      </c>
      <c r="D86" s="823" t="s">
        <v>189</v>
      </c>
      <c r="E86" s="2" t="s">
        <v>190</v>
      </c>
      <c r="F86" s="822" t="s">
        <v>191</v>
      </c>
      <c r="G86" s="27">
        <v>576</v>
      </c>
      <c r="H86" s="2">
        <f>IF(Equipment!$I$42&gt;=1,ROUNDUP(((1+'Data entry'!$C$33)*((1/G86)*(('Data entry'!$C$16+'Data entry'!$C$16*'Data entry'!$C$23)+$H$50))),0),ROUNDUP((1/G86)*(('Data entry'!$C$16+'Data entry'!$C$16*'Data entry'!$C$23)+$H$50),0))</f>
        <v>2</v>
      </c>
      <c r="I86" s="2">
        <f>IF(Equipment!$I$42&gt;=1,ROUNDUP(((1+'Data entry'!$C$33)*((1/$G86)*(('Data entry'!$F$16+'Data entry'!$F$16*'Data entry'!$F$23)+$I$50))),0),ROUNDUP((1/$G86)*(('Data entry'!$F$16+'Data entry'!$F$16*'Data entry'!$F$23)+$I$50),0))</f>
        <v>1</v>
      </c>
      <c r="J86" s="27">
        <v>96</v>
      </c>
      <c r="K86" s="315">
        <v>7284</v>
      </c>
      <c r="L86" s="823" t="s">
        <v>75</v>
      </c>
      <c r="M86" s="819" t="s">
        <v>192</v>
      </c>
    </row>
    <row r="87" spans="2:13">
      <c r="B87" s="310"/>
      <c r="C87" s="847"/>
      <c r="D87" s="823"/>
      <c r="E87" s="2" t="s">
        <v>193</v>
      </c>
      <c r="F87" s="822"/>
      <c r="G87" s="27">
        <v>576</v>
      </c>
      <c r="H87" s="2">
        <f>IF(Equipment!$I$42&gt;=1,ROUNDUP(((1+'Data entry'!$C$33)*((1/G87)*(('Data entry'!$C$16+'Data entry'!$C$16*'Data entry'!$C$23)+$H$50))),0),ROUNDUP((1/G87)*(('Data entry'!$C$16+'Data entry'!$C$16*'Data entry'!$C$23)+$H$50),0))</f>
        <v>2</v>
      </c>
      <c r="I87" s="2">
        <f>IF(Equipment!$I$42&gt;=1,ROUNDUP(((1+'Data entry'!$C$33)*((1/$G87)*(('Data entry'!$F$16+'Data entry'!$F$16*'Data entry'!$F$23)+$I$50))),0),ROUNDUP((1/$G87)*(('Data entry'!$F$16+'Data entry'!$F$16*'Data entry'!$F$23)+$I$50),0))</f>
        <v>1</v>
      </c>
      <c r="J87" s="27">
        <v>96</v>
      </c>
      <c r="K87" s="315">
        <v>0</v>
      </c>
      <c r="L87" s="823"/>
      <c r="M87" s="820"/>
    </row>
    <row r="88" spans="2:13" ht="30" customHeight="1">
      <c r="B88" s="298"/>
      <c r="C88" s="847"/>
      <c r="D88" s="823"/>
      <c r="E88" s="2" t="s">
        <v>194</v>
      </c>
      <c r="F88" s="822"/>
      <c r="G88" s="27">
        <v>576</v>
      </c>
      <c r="H88" s="2">
        <f>IF(Equipment!$I$42&gt;=1,ROUNDUP(((1+'Data entry'!$C$33)*((1/G88)*(('Data entry'!$C$16+'Data entry'!$C$16*'Data entry'!$C$23)+$H$50))),0),ROUNDUP((1/G88)*(('Data entry'!$C$16+'Data entry'!$C$16*'Data entry'!$C$23)+$H$50),0))</f>
        <v>2</v>
      </c>
      <c r="I88" s="2">
        <f>IF(Equipment!$I$42&gt;=1,ROUNDUP(((1+'Data entry'!$C$33)*((1/$G88)*(('Data entry'!$F$16+'Data entry'!$F$16*'Data entry'!$F$23)+$I$50))),0),ROUNDUP((1/$G88)*(('Data entry'!$F$16+'Data entry'!$F$16*'Data entry'!$F$23)+$I$50),0))</f>
        <v>1</v>
      </c>
      <c r="J88" s="27">
        <v>96</v>
      </c>
      <c r="K88" s="315">
        <v>0</v>
      </c>
      <c r="L88" s="823"/>
      <c r="M88" s="821"/>
    </row>
    <row r="89" spans="2:13" ht="30" customHeight="1">
      <c r="B89" s="297"/>
      <c r="C89" s="823" t="s">
        <v>195</v>
      </c>
      <c r="D89" s="822" t="s">
        <v>196</v>
      </c>
      <c r="E89" s="2" t="s">
        <v>197</v>
      </c>
      <c r="F89" s="835" t="s">
        <v>198</v>
      </c>
      <c r="G89" s="2">
        <v>6</v>
      </c>
      <c r="H89" s="2">
        <f>IF(Equipment!$I$42&gt;=1,ROUNDUP(((1+'Data entry'!$C$33)*((1/G89)*(('Data entry'!$C$16+'Data entry'!$C$16*'Data entry'!$C$23)+$H$50))),0),ROUNDUP((1/G89)*(('Data entry'!$C$16+'Data entry'!$C$16*'Data entry'!$C$23)+$H$50),0))</f>
        <v>106</v>
      </c>
      <c r="I89" s="2">
        <f>IF(Equipment!$I$42&gt;=1,ROUNDUP(((1+'Data entry'!$C$33)*((1/$G89)*(('Data entry'!$F$16+'Data entry'!$F$16*'Data entry'!$F$23)+$I$50))),0),ROUNDUP((1/$G89)*(('Data entry'!$F$16+'Data entry'!$F$16*'Data entry'!$F$23)+$I$50),0))</f>
        <v>58</v>
      </c>
      <c r="J89" s="2">
        <v>24</v>
      </c>
      <c r="K89" s="315">
        <v>599</v>
      </c>
      <c r="L89" s="822" t="s">
        <v>75</v>
      </c>
      <c r="M89" s="2" t="s">
        <v>199</v>
      </c>
    </row>
    <row r="90" spans="2:13" ht="30" customHeight="1">
      <c r="B90" s="297"/>
      <c r="C90" s="823"/>
      <c r="D90" s="822"/>
      <c r="E90" s="35" t="s">
        <v>200</v>
      </c>
      <c r="F90" s="835"/>
      <c r="G90" s="2">
        <v>250</v>
      </c>
      <c r="H90" s="2">
        <f>IF(Equipment!$I$42&gt;=1,ROUNDUP(((1+'Data entry'!$C$33)*((1/G90)*(('Data entry'!$C$16+'Data entry'!$C$16*'Data entry'!$C$23)+$H$50))),0),ROUNDUP((1/G90)*(('Data entry'!$C$16+'Data entry'!$C$16*'Data entry'!$C$23)+$H$50),0))</f>
        <v>3</v>
      </c>
      <c r="I90" s="2">
        <f>IF(Equipment!$I$42&gt;=1,ROUNDUP(((1+'Data entry'!$C$33)*((1/$G90)*(('Data entry'!$F$16+'Data entry'!$F$16*'Data entry'!$F$23)+$I$50))),0),ROUNDUP((1/$G90)*(('Data entry'!$F$16+'Data entry'!$F$16*'Data entry'!$F$23)+$I$50),0))</f>
        <v>2</v>
      </c>
      <c r="J90" s="326"/>
      <c r="K90" s="283">
        <v>427</v>
      </c>
      <c r="L90" s="822"/>
      <c r="M90" s="2" t="s">
        <v>201</v>
      </c>
    </row>
    <row r="91" spans="2:13" ht="30" customHeight="1">
      <c r="B91" s="297"/>
      <c r="C91" s="823"/>
      <c r="D91" s="822"/>
      <c r="E91" s="35" t="s">
        <v>202</v>
      </c>
      <c r="F91" s="835"/>
      <c r="G91" s="2">
        <v>200</v>
      </c>
      <c r="H91" s="2">
        <f>IF(Equipment!$I$42&gt;=1,ROUNDUP(((1+'Data entry'!$C$33)*((1/G91)*(('Data entry'!$C$16+'Data entry'!$C$16*'Data entry'!$C$23)+$H$50))),0),ROUNDUP((1/G91)*(('Data entry'!$C$16+'Data entry'!$C$16*'Data entry'!$C$23)+$H$50),0))</f>
        <v>4</v>
      </c>
      <c r="I91" s="2">
        <f>IF(Equipment!$I$42&gt;=1,ROUNDUP(((1+'Data entry'!$C$33)*((1/$G91)*(('Data entry'!$F$16+'Data entry'!$F$16*'Data entry'!$F$23)+$I$50))),0),ROUNDUP((1/$G91)*(('Data entry'!$F$16+'Data entry'!$F$16*'Data entry'!$F$23)+$I$50),0))</f>
        <v>2</v>
      </c>
      <c r="J91" s="326"/>
      <c r="K91" s="283">
        <v>80</v>
      </c>
      <c r="L91" s="822"/>
      <c r="M91" s="14" t="s">
        <v>203</v>
      </c>
    </row>
    <row r="92" spans="2:13" ht="30" customHeight="1">
      <c r="B92" s="297"/>
      <c r="C92" s="823"/>
      <c r="D92" s="822"/>
      <c r="E92" s="35" t="s">
        <v>204</v>
      </c>
      <c r="F92" s="835"/>
      <c r="G92" s="2">
        <v>400</v>
      </c>
      <c r="H92" s="2">
        <f>IF(Equipment!$I$42&gt;=1,ROUNDUP(((1+'Data entry'!$C$33)*((1/G92)*(('Data entry'!$C$16+'Data entry'!$C$16*'Data entry'!$C$23)+$H$50))),0),ROUNDUP((1/G92)*(('Data entry'!$C$16+'Data entry'!$C$16*'Data entry'!$C$23)+$H$50),0))</f>
        <v>2</v>
      </c>
      <c r="I92" s="2">
        <f>IF(Equipment!$I$42&gt;=1,ROUNDUP(((1+'Data entry'!$C$33)*((1/$G92)*(('Data entry'!$F$16+'Data entry'!$F$16*'Data entry'!$F$23)+$I$50))),0),ROUNDUP((1/$G92)*(('Data entry'!$F$16+'Data entry'!$F$16*'Data entry'!$F$23)+$I$50),0))</f>
        <v>1</v>
      </c>
      <c r="J92" s="326"/>
      <c r="K92" s="315">
        <v>1082</v>
      </c>
      <c r="L92" s="822"/>
      <c r="M92" s="14" t="s">
        <v>205</v>
      </c>
    </row>
    <row r="93" spans="2:13" ht="30" customHeight="1">
      <c r="B93" s="297"/>
      <c r="C93" s="823"/>
      <c r="D93" s="822"/>
      <c r="E93" s="35" t="s">
        <v>206</v>
      </c>
      <c r="F93" s="835"/>
      <c r="G93" s="2">
        <v>5</v>
      </c>
      <c r="H93" s="2">
        <f>IF(Equipment!$I$42&gt;=1,ROUNDUP(((1+'Data entry'!$C$33)*((1/G93)*(('Data entry'!$C$16+'Data entry'!$C$16*'Data entry'!$C$23)+$H$50))),0),ROUNDUP((1/G93)*(('Data entry'!$C$16+'Data entry'!$C$16*'Data entry'!$C$23)+$H$50),0))</f>
        <v>127</v>
      </c>
      <c r="I93" s="2">
        <f>IF(Equipment!$I$42&gt;=1,ROUNDUP(((1+'Data entry'!$C$33)*((1/$G93)*(('Data entry'!$F$16+'Data entry'!$F$16*'Data entry'!$F$23)+$I$50))),0),ROUNDUP((1/$G93)*(('Data entry'!$F$16+'Data entry'!$F$16*'Data entry'!$F$23)+$I$50),0))</f>
        <v>70</v>
      </c>
      <c r="J93" s="326"/>
      <c r="K93" s="283">
        <v>49</v>
      </c>
      <c r="L93" s="822"/>
      <c r="M93" s="2" t="s">
        <v>207</v>
      </c>
    </row>
    <row r="94" spans="2:13" ht="30" customHeight="1">
      <c r="B94" s="297"/>
      <c r="C94" s="823"/>
      <c r="D94" s="822"/>
      <c r="E94" s="348" t="s">
        <v>208</v>
      </c>
      <c r="F94" s="835"/>
      <c r="G94" s="27">
        <v>500</v>
      </c>
      <c r="H94" s="2">
        <f>IF(Equipment!$I$42&gt;=1,ROUNDUP(((1+'Data entry'!$C$33)*((1/G94)*(('Data entry'!$C$16+'Data entry'!$C$16*'Data entry'!$C$23)+$H$50))),0),ROUNDUP((1/G94)*(('Data entry'!$C$16+'Data entry'!$C$16*'Data entry'!$C$23)+$H$50),0))</f>
        <v>2</v>
      </c>
      <c r="I94" s="2">
        <f>IF(Equipment!$I$42&gt;=1,ROUNDUP(((1+'Data entry'!$C$33)*((1/$G94)*(('Data entry'!$F$16+'Data entry'!$F$16*'Data entry'!$F$23)+$I$50))),0),ROUNDUP((1/$G94)*(('Data entry'!$F$16+'Data entry'!$F$16*'Data entry'!$F$23)+$I$50),0))</f>
        <v>1</v>
      </c>
      <c r="J94" s="326"/>
      <c r="K94" s="367">
        <v>288</v>
      </c>
      <c r="L94" s="822"/>
      <c r="M94" s="16"/>
    </row>
    <row r="95" spans="2:13" ht="30" customHeight="1">
      <c r="B95" s="297"/>
      <c r="C95" s="823"/>
      <c r="D95" s="822"/>
      <c r="E95" s="348" t="s">
        <v>209</v>
      </c>
      <c r="F95" s="835"/>
      <c r="G95" s="27">
        <v>400</v>
      </c>
      <c r="H95" s="2">
        <f>IF(Equipment!$I$42&gt;=1,ROUNDUP(((1+'Data entry'!$C$33)*((1/G95)*(('Data entry'!$C$16+'Data entry'!$C$16*'Data entry'!$C$23)+$H$50))),0),ROUNDUP((1/G95)*(('Data entry'!$C$16+'Data entry'!$C$16*'Data entry'!$C$23)+$H$50),0))</f>
        <v>2</v>
      </c>
      <c r="I95" s="2">
        <f>IF(Equipment!$I$42&gt;=1,ROUNDUP(((1+'Data entry'!$C$33)*((1/$G95)*(('Data entry'!$F$16+'Data entry'!$F$16*'Data entry'!$F$23)+$I$50))),0),ROUNDUP((1/$G95)*(('Data entry'!$F$16+'Data entry'!$F$16*'Data entry'!$F$23)+$I$50),0))</f>
        <v>1</v>
      </c>
      <c r="J95" s="326"/>
      <c r="K95" s="367">
        <v>69</v>
      </c>
      <c r="L95" s="822"/>
      <c r="M95" s="16" t="s">
        <v>210</v>
      </c>
    </row>
    <row r="96" spans="2:13" ht="30" customHeight="1">
      <c r="B96" s="297"/>
      <c r="C96" s="823"/>
      <c r="D96" s="822"/>
      <c r="E96" s="348" t="s">
        <v>211</v>
      </c>
      <c r="F96" s="835"/>
      <c r="G96" s="27">
        <v>375</v>
      </c>
      <c r="H96" s="2">
        <f>IF(Equipment!$I$42&gt;=1,ROUNDUP(((1+'Data entry'!$C$33)*((1/G96)*(('Data entry'!$C$16+'Data entry'!$C$16*'Data entry'!$C$23)+$H$50))),0),ROUNDUP((1/G96)*(('Data entry'!$C$16+'Data entry'!$C$16*'Data entry'!$C$23)+$H$50),0))</f>
        <v>2</v>
      </c>
      <c r="I96" s="2">
        <f>IF(Equipment!$I$42&gt;=1,ROUNDUP(((1+'Data entry'!$C$33)*((1/$G96)*(('Data entry'!$F$16+'Data entry'!$F$16*'Data entry'!$F$23)+$I$50))),0),ROUNDUP((1/$G96)*(('Data entry'!$F$16+'Data entry'!$F$16*'Data entry'!$F$23)+$I$50),0))</f>
        <v>1</v>
      </c>
      <c r="J96" s="326"/>
      <c r="K96" s="367">
        <v>308</v>
      </c>
      <c r="L96" s="822"/>
      <c r="M96" s="16" t="s">
        <v>212</v>
      </c>
    </row>
    <row r="97" spans="2:13" ht="30" customHeight="1">
      <c r="B97" s="297"/>
      <c r="C97" s="823"/>
      <c r="D97" s="822"/>
      <c r="E97" s="348" t="s">
        <v>213</v>
      </c>
      <c r="F97" s="835"/>
      <c r="G97" s="27">
        <v>25</v>
      </c>
      <c r="H97" s="2">
        <f>IF(Equipment!$I$42&gt;=1,ROUNDUP(((1+'Data entry'!$C$33)*((1/G97)*(('Data entry'!$C$16+'Data entry'!$C$16*'Data entry'!$C$23)+$H$50))),0),ROUNDUP((1/G97)*(('Data entry'!$C$16+'Data entry'!$C$16*'Data entry'!$C$23)+$H$50),0))</f>
        <v>26</v>
      </c>
      <c r="I97" s="2">
        <f>IF(Equipment!$I$42&gt;=1,ROUNDUP(((1+'Data entry'!$C$33)*((1/$G97)*(('Data entry'!$F$16+'Data entry'!$F$16*'Data entry'!$F$23)+$I$50))),0),ROUNDUP((1/$G97)*(('Data entry'!$F$16+'Data entry'!$F$16*'Data entry'!$F$23)+$I$50),0))</f>
        <v>14</v>
      </c>
      <c r="J97" s="465"/>
      <c r="K97" s="367">
        <v>508</v>
      </c>
      <c r="L97" s="822"/>
      <c r="M97" s="16" t="s">
        <v>214</v>
      </c>
    </row>
    <row r="98" spans="2:13" ht="30.75" customHeight="1">
      <c r="B98" s="293"/>
      <c r="C98" s="822" t="s">
        <v>111</v>
      </c>
      <c r="D98" s="822" t="s">
        <v>215</v>
      </c>
      <c r="E98" s="4" t="s">
        <v>216</v>
      </c>
      <c r="F98" s="827" t="s">
        <v>217</v>
      </c>
      <c r="G98" s="2">
        <f>24*6</f>
        <v>144</v>
      </c>
      <c r="H98" s="2">
        <f>IF(Equipment!$I$42&gt;=1,ROUNDUP(((1+'Data entry'!$C$33)*((1/G98)*(('Data entry'!$C$16+'Data entry'!$C$16*'Data entry'!$C$23)+$H$50))),0),ROUNDUP((1/G98)*(('Data entry'!$C$16+'Data entry'!$C$16*'Data entry'!$C$23)+$H$50),0))</f>
        <v>5</v>
      </c>
      <c r="I98" s="2">
        <f>IF(Equipment!$I$42&gt;=1,ROUNDUP(((1+'Data entry'!$C$33)*((1/$G98)*(('Data entry'!$F$16+'Data entry'!$F$16*'Data entry'!$F$23)+$I$50))),0),ROUNDUP((1/$G98)*(('Data entry'!$F$16+'Data entry'!$F$16*'Data entry'!$F$23)+$I$50),0))</f>
        <v>3</v>
      </c>
      <c r="J98" s="2">
        <v>24</v>
      </c>
      <c r="K98" s="283">
        <v>599</v>
      </c>
      <c r="L98" s="823" t="s">
        <v>75</v>
      </c>
      <c r="M98" s="327" t="s">
        <v>218</v>
      </c>
    </row>
    <row r="99" spans="2:13" ht="30.75" customHeight="1">
      <c r="B99" s="294"/>
      <c r="C99" s="822"/>
      <c r="D99" s="822"/>
      <c r="E99" s="4" t="s">
        <v>219</v>
      </c>
      <c r="F99" s="827"/>
      <c r="G99" s="2">
        <f>24*6</f>
        <v>144</v>
      </c>
      <c r="H99" s="2">
        <f>IF(Equipment!$I$42&gt;=1,ROUNDUP(((1+'Data entry'!$C$33)*((1/G99)*(('Data entry'!$C$16+'Data entry'!$C$16*'Data entry'!$C$23)+$H$50))),0),ROUNDUP((1/G99)*(('Data entry'!$C$16+'Data entry'!$C$16*'Data entry'!$C$23)+$H$50),0))</f>
        <v>5</v>
      </c>
      <c r="I99" s="2">
        <f>IF(Equipment!$I$42&gt;=1,ROUNDUP(((1+'Data entry'!$C$33)*((1/$G99)*(('Data entry'!$F$16+'Data entry'!$F$16*'Data entry'!$F$23)+$I$50))),0),ROUNDUP((1/$G99)*(('Data entry'!$F$16+'Data entry'!$F$16*'Data entry'!$F$23)+$I$50),0))</f>
        <v>3</v>
      </c>
      <c r="J99" s="2">
        <v>24</v>
      </c>
      <c r="K99" s="283">
        <v>699</v>
      </c>
      <c r="L99" s="823"/>
      <c r="M99" s="327" t="s">
        <v>220</v>
      </c>
    </row>
    <row r="100" spans="2:13" ht="28.8">
      <c r="B100" s="313" t="s">
        <v>221</v>
      </c>
      <c r="C100" s="822"/>
      <c r="D100" s="822"/>
      <c r="E100" s="35" t="s">
        <v>200</v>
      </c>
      <c r="F100" s="827"/>
      <c r="G100" s="2">
        <v>250</v>
      </c>
      <c r="H100" s="2">
        <f>IF(Equipment!$I$42&gt;=1,ROUNDUP(((1+'Data entry'!$C$33)*((1/G100)*(('Data entry'!$C$16+'Data entry'!$C$16*'Data entry'!$C$23)+$H$50))),0),ROUNDUP((1/G100)*(('Data entry'!$C$16+'Data entry'!$C$16*'Data entry'!$C$23)+$H$50),0))</f>
        <v>3</v>
      </c>
      <c r="I100" s="2">
        <f>IF(Equipment!$I$42&gt;=1,ROUNDUP(((1+'Data entry'!$C$33)*((1/$G100)*(('Data entry'!$F$16+'Data entry'!$F$16*'Data entry'!$F$23)+$I$50))),0),ROUNDUP((1/$G100)*(('Data entry'!$F$16+'Data entry'!$F$16*'Data entry'!$F$23)+$I$50),0))</f>
        <v>2</v>
      </c>
      <c r="J100" s="326"/>
      <c r="K100" s="283">
        <v>427</v>
      </c>
      <c r="L100" s="823"/>
      <c r="M100" s="2" t="s">
        <v>201</v>
      </c>
    </row>
    <row r="101" spans="2:13">
      <c r="B101" s="314"/>
      <c r="C101" s="822"/>
      <c r="D101" s="822"/>
      <c r="E101" s="4" t="s">
        <v>222</v>
      </c>
      <c r="F101" s="827"/>
      <c r="G101" s="2">
        <v>96</v>
      </c>
      <c r="H101" s="2">
        <f>IF(Equipment!$I$42&gt;=1,ROUNDUP(((1+'Data entry'!$C$33)*((1/G101)*(('Data entry'!$C$16+'Data entry'!$C$16*'Data entry'!$C$23)+$H$50))),0),ROUNDUP((1/G101)*(('Data entry'!$C$16+'Data entry'!$C$16*'Data entry'!$C$23)+$H$50),0))</f>
        <v>7</v>
      </c>
      <c r="I101" s="2">
        <f>IF(Equipment!$I$42&gt;=1,ROUNDUP(((1+'Data entry'!$C$33)*((1/$G101)*(('Data entry'!$F$16+'Data entry'!$F$16*'Data entry'!$F$23)+$I$50))),0),ROUNDUP((1/$G101)*(('Data entry'!$F$16+'Data entry'!$F$16*'Data entry'!$F$23)+$I$50),0))</f>
        <v>4</v>
      </c>
      <c r="J101" s="326"/>
      <c r="K101" s="283">
        <v>811</v>
      </c>
      <c r="L101" s="823"/>
      <c r="M101" s="327" t="s">
        <v>223</v>
      </c>
    </row>
    <row r="102" spans="2:13">
      <c r="B102" s="314"/>
      <c r="C102" s="822"/>
      <c r="D102" s="822"/>
      <c r="E102" s="4" t="s">
        <v>224</v>
      </c>
      <c r="F102" s="827"/>
      <c r="G102" s="2">
        <v>100</v>
      </c>
      <c r="H102" s="2">
        <f>IF(Equipment!$I$42&gt;=1,ROUNDUP(((1+'Data entry'!$C$33)*((1/G102)*(('Data entry'!$C$16+'Data entry'!$C$16*'Data entry'!$C$23)+$H$50))),0),ROUNDUP((1/G102)*(('Data entry'!$C$16+'Data entry'!$C$16*'Data entry'!$C$23)+$H$50),0))</f>
        <v>7</v>
      </c>
      <c r="I102" s="2">
        <f>IF(Equipment!$I$42&gt;=1,ROUNDUP(((1+'Data entry'!$C$33)*((1/$G102)*(('Data entry'!$F$16+'Data entry'!$F$16*'Data entry'!$F$23)+$I$50))),0),ROUNDUP((1/$G102)*(('Data entry'!$F$16+'Data entry'!$F$16*'Data entry'!$F$23)+$I$50),0))</f>
        <v>4</v>
      </c>
      <c r="J102" s="326"/>
      <c r="K102" s="283">
        <v>1376</v>
      </c>
      <c r="L102" s="823"/>
      <c r="M102" s="2" t="s">
        <v>225</v>
      </c>
    </row>
    <row r="103" spans="2:13" ht="15.6">
      <c r="B103" s="297" t="s">
        <v>117</v>
      </c>
      <c r="C103" s="822"/>
      <c r="D103" s="822"/>
      <c r="E103" s="4" t="s">
        <v>118</v>
      </c>
      <c r="F103" s="827"/>
      <c r="G103" s="27">
        <v>100</v>
      </c>
      <c r="H103" s="2">
        <f>IF(Equipment!$I$42&gt;=1,ROUNDUP(((1+'Data entry'!$C$33)*((1/G103)*(('Data entry'!$C$16+'Data entry'!$C$16*'Data entry'!$C$23)+$H$50))),0),ROUNDUP((1/G103)*(('Data entry'!$C$16+'Data entry'!$C$16*'Data entry'!$C$23)+$H$50),0))</f>
        <v>7</v>
      </c>
      <c r="I103" s="2">
        <f>IF(Equipment!$I$42&gt;=1,ROUNDUP(((1+'Data entry'!$C$33)*((1/$G103)*(('Data entry'!$F$16+'Data entry'!$F$16*'Data entry'!$F$23)+$I$50))),0),ROUNDUP((1/$G103)*(('Data entry'!$F$16+'Data entry'!$F$16*'Data entry'!$F$23)+$I$50),0))</f>
        <v>4</v>
      </c>
      <c r="J103" s="465"/>
      <c r="K103" s="283">
        <v>460</v>
      </c>
      <c r="L103" s="823"/>
      <c r="M103" s="299" t="s">
        <v>119</v>
      </c>
    </row>
    <row r="104" spans="2:13" ht="30.75" customHeight="1">
      <c r="B104" s="298" t="s">
        <v>120</v>
      </c>
      <c r="C104" s="822"/>
      <c r="D104" s="822"/>
      <c r="E104" s="303" t="s">
        <v>121</v>
      </c>
      <c r="F104" s="827"/>
      <c r="G104" s="27">
        <v>1000</v>
      </c>
      <c r="H104" s="2">
        <f>IF(Equipment!$I$42&gt;=1,ROUNDUP(((1+'Data entry'!$C$33)*((1/G104)*(('Data entry'!$C$16+'Data entry'!$C$16*'Data entry'!$C$23)+$H$50))),0),ROUNDUP((1/G104)*(('Data entry'!$C$16+'Data entry'!$C$16*'Data entry'!$C$23)+$H$50),0))</f>
        <v>1</v>
      </c>
      <c r="I104" s="2">
        <f>IF(Equipment!$I$42&gt;=1,ROUNDUP(((1+'Data entry'!$C$33)*((1/$G104)*(('Data entry'!$F$16+'Data entry'!$F$16*'Data entry'!$F$23)+$I$50))),0),ROUNDUP((1/$G104)*(('Data entry'!$F$16+'Data entry'!$F$16*'Data entry'!$F$23)+$I$50),0))</f>
        <v>1</v>
      </c>
      <c r="J104" s="465"/>
      <c r="K104" s="283">
        <v>65</v>
      </c>
      <c r="L104" s="823"/>
      <c r="M104" s="17"/>
    </row>
    <row r="105" spans="2:13" ht="30" customHeight="1">
      <c r="B105" s="309"/>
      <c r="C105" s="822" t="s">
        <v>111</v>
      </c>
      <c r="D105" s="822" t="s">
        <v>226</v>
      </c>
      <c r="E105" s="4" t="s">
        <v>216</v>
      </c>
      <c r="F105" s="827" t="s">
        <v>217</v>
      </c>
      <c r="G105" s="2">
        <f>96*6</f>
        <v>576</v>
      </c>
      <c r="H105" s="2">
        <f>IF(Equipment!$I$42&gt;=1,ROUNDUP(((1+'Data entry'!$C$33)*((1/G105)*(('Data entry'!$C$16+'Data entry'!$C$16*'Data entry'!$C$23)+$H$50))),0),ROUNDUP((1/G105)*(('Data entry'!$C$16+'Data entry'!$C$16*'Data entry'!$C$23)+$H$50),0))</f>
        <v>2</v>
      </c>
      <c r="I105" s="2">
        <f>IF(Equipment!$I$42&gt;=1,ROUNDUP(((1+'Data entry'!$C$33)*((1/$G105)*(('Data entry'!$F$16+'Data entry'!$F$16*'Data entry'!$F$23)+$I$50))),0),ROUNDUP((1/$G105)*(('Data entry'!$F$16+'Data entry'!$F$16*'Data entry'!$F$23)+$I$50),0))</f>
        <v>1</v>
      </c>
      <c r="J105" s="2">
        <v>96</v>
      </c>
      <c r="K105" s="283">
        <v>599</v>
      </c>
      <c r="L105" s="823" t="s">
        <v>75</v>
      </c>
      <c r="M105" s="327" t="s">
        <v>218</v>
      </c>
    </row>
    <row r="106" spans="2:13">
      <c r="B106" s="310"/>
      <c r="C106" s="822"/>
      <c r="D106" s="822"/>
      <c r="E106" s="4" t="s">
        <v>227</v>
      </c>
      <c r="F106" s="827"/>
      <c r="G106" s="2">
        <f>96*3</f>
        <v>288</v>
      </c>
      <c r="H106" s="2">
        <f>IF(Equipment!$I$42&gt;=1,ROUNDUP(((1+'Data entry'!$C$33)*((1/G106)*(('Data entry'!$C$16+'Data entry'!$C$16*'Data entry'!$C$23)+$H$50))),0),ROUNDUP((1/G106)*(('Data entry'!$C$16+'Data entry'!$C$16*'Data entry'!$C$23)+$H$50),0))</f>
        <v>3</v>
      </c>
      <c r="I106" s="2">
        <f>IF(Equipment!$I$42&gt;=1,ROUNDUP(((1+'Data entry'!$C$33)*((1/$G106)*(('Data entry'!$F$16+'Data entry'!$F$16*'Data entry'!$F$23)+$I$50))),0),ROUNDUP((1/$G106)*(('Data entry'!$F$16+'Data entry'!$F$16*'Data entry'!$F$23)+$I$50),0))</f>
        <v>2</v>
      </c>
      <c r="J106" s="2">
        <v>96</v>
      </c>
      <c r="K106" s="283">
        <v>799</v>
      </c>
      <c r="L106" s="823"/>
      <c r="M106" s="327" t="s">
        <v>228</v>
      </c>
    </row>
    <row r="107" spans="2:13" ht="28.8">
      <c r="B107" s="313" t="s">
        <v>221</v>
      </c>
      <c r="C107" s="822"/>
      <c r="D107" s="822"/>
      <c r="E107" s="4" t="s">
        <v>200</v>
      </c>
      <c r="F107" s="827"/>
      <c r="G107" s="2">
        <v>250</v>
      </c>
      <c r="H107" s="2">
        <f>IF(Equipment!$I$42&gt;=1,ROUNDUP(((1+'Data entry'!$C$33)*((1/G107)*(('Data entry'!$C$16+'Data entry'!$C$16*'Data entry'!$C$23)+$H$50))),0),ROUNDUP((1/G107)*(('Data entry'!$C$16+'Data entry'!$C$16*'Data entry'!$C$23)+$H$50),0))</f>
        <v>3</v>
      </c>
      <c r="I107" s="2">
        <f>IF(Equipment!$I$42&gt;=1,ROUNDUP(((1+'Data entry'!$C$33)*((1/$G107)*(('Data entry'!$F$16+'Data entry'!$F$16*'Data entry'!$F$23)+$I$50))),0),ROUNDUP((1/$G107)*(('Data entry'!$F$16+'Data entry'!$F$16*'Data entry'!$F$23)+$I$50),0))</f>
        <v>2</v>
      </c>
      <c r="J107" s="326"/>
      <c r="K107" s="283">
        <v>427</v>
      </c>
      <c r="L107" s="823"/>
      <c r="M107" s="2" t="s">
        <v>201</v>
      </c>
    </row>
    <row r="108" spans="2:13">
      <c r="B108" s="317"/>
      <c r="C108" s="822"/>
      <c r="D108" s="822"/>
      <c r="E108" s="4" t="s">
        <v>229</v>
      </c>
      <c r="F108" s="827"/>
      <c r="G108" s="2">
        <v>96</v>
      </c>
      <c r="H108" s="2">
        <f>IF(Equipment!$I$42&gt;=1,ROUNDUP(((1+'Data entry'!$C$33)*((1/G108)*(('Data entry'!$C$16+'Data entry'!$C$16*'Data entry'!$C$23)+$H$50))),0),ROUNDUP((1/G108)*(('Data entry'!$C$16+'Data entry'!$C$16*'Data entry'!$C$23)+$H$50),0))</f>
        <v>7</v>
      </c>
      <c r="I108" s="2">
        <f>IF(Equipment!$I$42&gt;=1,ROUNDUP(((1+'Data entry'!$C$33)*((1/$G108)*(('Data entry'!$F$16+'Data entry'!$F$16*'Data entry'!$F$23)+$I$50))),0),ROUNDUP((1/$G108)*(('Data entry'!$F$16+'Data entry'!$F$16*'Data entry'!$F$23)+$I$50),0))</f>
        <v>4</v>
      </c>
      <c r="J108" s="326"/>
      <c r="K108" s="283">
        <v>811</v>
      </c>
      <c r="L108" s="823"/>
      <c r="M108" s="327" t="s">
        <v>223</v>
      </c>
    </row>
    <row r="109" spans="2:13" ht="30.75" customHeight="1">
      <c r="B109" s="317"/>
      <c r="C109" s="822"/>
      <c r="D109" s="822"/>
      <c r="E109" s="4" t="s">
        <v>224</v>
      </c>
      <c r="F109" s="827"/>
      <c r="G109" s="2">
        <v>100</v>
      </c>
      <c r="H109" s="2">
        <f>IF(Equipment!$I$42&gt;=1,ROUNDUP(((1+'Data entry'!$C$33)*((1/G109)*(('Data entry'!$C$16+'Data entry'!$C$16*'Data entry'!$C$23)+$H$50))),0),ROUNDUP((1/G109)*(('Data entry'!$C$16+'Data entry'!$C$16*'Data entry'!$C$23)+$H$50),0))</f>
        <v>7</v>
      </c>
      <c r="I109" s="2">
        <f>IF(Equipment!$I$42&gt;=1,ROUNDUP(((1+'Data entry'!$C$33)*((1/$G109)*(('Data entry'!$F$16+'Data entry'!$F$16*'Data entry'!$F$23)+$I$50))),0),ROUNDUP((1/$G109)*(('Data entry'!$F$16+'Data entry'!$F$16*'Data entry'!$F$23)+$I$50),0))</f>
        <v>4</v>
      </c>
      <c r="J109" s="326"/>
      <c r="K109" s="283">
        <v>1376</v>
      </c>
      <c r="L109" s="823"/>
      <c r="M109" s="2" t="s">
        <v>225</v>
      </c>
    </row>
    <row r="110" spans="2:13" ht="15.6">
      <c r="B110" s="297" t="s">
        <v>117</v>
      </c>
      <c r="C110" s="822"/>
      <c r="D110" s="822"/>
      <c r="E110" s="4" t="s">
        <v>118</v>
      </c>
      <c r="F110" s="827"/>
      <c r="G110" s="27">
        <v>100</v>
      </c>
      <c r="H110" s="2">
        <f>IF(Equipment!$I$42&gt;=1,ROUNDUP(((1+'Data entry'!$C$33)*((1/G110)*(('Data entry'!$C$16+'Data entry'!$C$16*'Data entry'!$C$23)+$H$50))),0),ROUNDUP((1/G110)*(('Data entry'!$C$16+'Data entry'!$C$16*'Data entry'!$C$23)+$H$50),0))</f>
        <v>7</v>
      </c>
      <c r="I110" s="2">
        <f>IF(Equipment!$I$42&gt;=1,ROUNDUP(((1+'Data entry'!$C$33)*((1/$G110)*(('Data entry'!$F$16+'Data entry'!$F$16*'Data entry'!$F$23)+$I$50))),0),ROUNDUP((1/$G110)*(('Data entry'!$F$16+'Data entry'!$F$16*'Data entry'!$F$23)+$I$50),0))</f>
        <v>4</v>
      </c>
      <c r="J110" s="465"/>
      <c r="K110" s="283">
        <v>460</v>
      </c>
      <c r="L110" s="823"/>
      <c r="M110" s="299" t="s">
        <v>119</v>
      </c>
    </row>
    <row r="111" spans="2:13" ht="15.6">
      <c r="B111" s="298" t="s">
        <v>120</v>
      </c>
      <c r="C111" s="822"/>
      <c r="D111" s="822"/>
      <c r="E111" s="303" t="s">
        <v>121</v>
      </c>
      <c r="F111" s="827"/>
      <c r="G111" s="27">
        <v>1000</v>
      </c>
      <c r="H111" s="2">
        <f>IF(Equipment!$I$42&gt;=1,ROUNDUP(((1+'Data entry'!$C$33)*((1/G111)*(('Data entry'!$C$16+'Data entry'!$C$16*'Data entry'!$C$23)+$H$50))),0),ROUNDUP((1/G111)*(('Data entry'!$C$16+'Data entry'!$C$16*'Data entry'!$C$23)+$H$50),0))</f>
        <v>1</v>
      </c>
      <c r="I111" s="2">
        <f>IF(Equipment!$I$42&gt;=1,ROUNDUP(((1+'Data entry'!$C$33)*((1/$G111)*(('Data entry'!$F$16+'Data entry'!$F$16*'Data entry'!$F$23)+$I$50))),0),ROUNDUP((1/$G111)*(('Data entry'!$F$16+'Data entry'!$F$16*'Data entry'!$F$23)+$I$50),0))</f>
        <v>1</v>
      </c>
      <c r="J111" s="465"/>
      <c r="K111" s="283">
        <v>65</v>
      </c>
      <c r="L111" s="823"/>
      <c r="M111" s="17"/>
    </row>
    <row r="112" spans="2:13" ht="30.75" customHeight="1">
      <c r="B112" s="293"/>
      <c r="C112" s="822" t="s">
        <v>111</v>
      </c>
      <c r="D112" s="826" t="s">
        <v>230</v>
      </c>
      <c r="E112" s="4" t="s">
        <v>231</v>
      </c>
      <c r="F112" s="827" t="s">
        <v>217</v>
      </c>
      <c r="G112" s="2">
        <f>96*48</f>
        <v>4608</v>
      </c>
      <c r="H112" s="2">
        <f>IF(Equipment!$I$42&gt;=1,ROUNDUP(((1+'Data entry'!$C$33)*((1/G112)*(('Data entry'!$C$16+'Data entry'!$C$16*'Data entry'!$C$23)+$H$50))),0),ROUNDUP((1/G112)*(('Data entry'!$C$16+'Data entry'!$C$16*'Data entry'!$C$23)+$H$50),0))</f>
        <v>1</v>
      </c>
      <c r="I112" s="2">
        <f>IF(Equipment!$I$42&gt;=1,ROUNDUP(((1+'Data entry'!$C$33)*((1/$G112)*(('Data entry'!$F$16+'Data entry'!$F$16*'Data entry'!$F$23)+$I$50))),0),ROUNDUP((1/$G112)*(('Data entry'!$F$16+'Data entry'!$F$16*'Data entry'!$F$23)+$I$50),0))</f>
        <v>1</v>
      </c>
      <c r="J112" s="2">
        <v>96</v>
      </c>
      <c r="K112" s="283">
        <v>4000</v>
      </c>
      <c r="L112" s="823" t="s">
        <v>75</v>
      </c>
      <c r="M112" s="327" t="s">
        <v>232</v>
      </c>
    </row>
    <row r="113" spans="2:13">
      <c r="B113" s="294"/>
      <c r="C113" s="822"/>
      <c r="D113" s="826"/>
      <c r="E113" s="4" t="s">
        <v>233</v>
      </c>
      <c r="F113" s="827"/>
      <c r="G113" s="2">
        <f>96*3</f>
        <v>288</v>
      </c>
      <c r="H113" s="2">
        <f>IF(Equipment!$I$42&gt;=1,ROUNDUP(((1+'Data entry'!$C$33)*((1/G113)*(('Data entry'!$C$16+'Data entry'!$C$16*'Data entry'!$C$23)+$H$50))),0),ROUNDUP((1/G113)*(('Data entry'!$C$16+'Data entry'!$C$16*'Data entry'!$C$23)+$H$50),0))</f>
        <v>3</v>
      </c>
      <c r="I113" s="2">
        <f>IF(Equipment!$I$42&gt;=1,ROUNDUP(((1+'Data entry'!$C$33)*((1/$G113)*(('Data entry'!$F$16+'Data entry'!$F$16*'Data entry'!$F$23)+$I$50))),0),ROUNDUP((1/$G113)*(('Data entry'!$F$16+'Data entry'!$F$16*'Data entry'!$F$23)+$I$50),0))</f>
        <v>2</v>
      </c>
      <c r="J113" s="2">
        <v>96</v>
      </c>
      <c r="K113" s="283">
        <v>799</v>
      </c>
      <c r="L113" s="823"/>
      <c r="M113" s="327" t="s">
        <v>228</v>
      </c>
    </row>
    <row r="114" spans="2:13" ht="28.8">
      <c r="B114" s="313" t="s">
        <v>221</v>
      </c>
      <c r="C114" s="822"/>
      <c r="D114" s="826"/>
      <c r="E114" s="4" t="s">
        <v>200</v>
      </c>
      <c r="F114" s="827"/>
      <c r="G114" s="2">
        <v>250</v>
      </c>
      <c r="H114" s="2">
        <f>IF(Equipment!$I$42&gt;=1,ROUNDUP(((1+'Data entry'!$C$33)*((1/G114)*(('Data entry'!$C$16+'Data entry'!$C$16*'Data entry'!$C$23)+$H$50))),0),ROUNDUP((1/G114)*(('Data entry'!$C$16+'Data entry'!$C$16*'Data entry'!$C$23)+$H$50),0))</f>
        <v>3</v>
      </c>
      <c r="I114" s="2">
        <f>IF(Equipment!$I$42&gt;=1,ROUNDUP(((1+'Data entry'!$C$33)*((1/$G114)*(('Data entry'!$F$16+'Data entry'!$F$16*'Data entry'!$F$23)+$I$50))),0),ROUNDUP((1/$G114)*(('Data entry'!$F$16+'Data entry'!$F$16*'Data entry'!$F$23)+$I$50),0))</f>
        <v>2</v>
      </c>
      <c r="J114" s="326"/>
      <c r="K114" s="283">
        <v>427</v>
      </c>
      <c r="L114" s="823"/>
      <c r="M114" s="2" t="s">
        <v>201</v>
      </c>
    </row>
    <row r="115" spans="2:13">
      <c r="B115" s="314"/>
      <c r="C115" s="822"/>
      <c r="D115" s="826"/>
      <c r="E115" s="4" t="s">
        <v>222</v>
      </c>
      <c r="F115" s="827"/>
      <c r="G115" s="2">
        <v>96</v>
      </c>
      <c r="H115" s="2">
        <f>IF(Equipment!$I$42&gt;=1,ROUNDUP(((1+'Data entry'!$C$33)*((1/G115)*(('Data entry'!$C$16+'Data entry'!$C$16*'Data entry'!$C$23)+$H$50))),0),ROUNDUP((1/G115)*(('Data entry'!$C$16+'Data entry'!$C$16*'Data entry'!$C$23)+$H$50),0))</f>
        <v>7</v>
      </c>
      <c r="I115" s="2">
        <f>IF(Equipment!$I$42&gt;=1,ROUNDUP(((1+'Data entry'!$C$33)*((1/$G115)*(('Data entry'!$F$16+'Data entry'!$F$16*'Data entry'!$F$23)+$I$50))),0),ROUNDUP((1/$G115)*(('Data entry'!$F$16+'Data entry'!$F$16*'Data entry'!$F$23)+$I$50),0))</f>
        <v>4</v>
      </c>
      <c r="J115" s="326"/>
      <c r="K115" s="283">
        <v>811</v>
      </c>
      <c r="L115" s="823"/>
      <c r="M115" s="327" t="s">
        <v>223</v>
      </c>
    </row>
    <row r="116" spans="2:13" ht="15" customHeight="1">
      <c r="B116" s="314"/>
      <c r="C116" s="822"/>
      <c r="D116" s="826"/>
      <c r="E116" s="4" t="s">
        <v>224</v>
      </c>
      <c r="F116" s="827"/>
      <c r="G116" s="2">
        <v>100</v>
      </c>
      <c r="H116" s="2">
        <f>IF(Equipment!$I$42&gt;=1,ROUNDUP(((1+'Data entry'!$C$33)*((1/G116)*(('Data entry'!$C$16+'Data entry'!$C$16*'Data entry'!$C$23)+$H$50))),0),ROUNDUP((1/G116)*(('Data entry'!$C$16+'Data entry'!$C$16*'Data entry'!$C$23)+$H$50),0))</f>
        <v>7</v>
      </c>
      <c r="I116" s="2">
        <f>IF(Equipment!$I$42&gt;=1,ROUNDUP(((1+'Data entry'!$C$33)*((1/$G116)*(('Data entry'!$F$16+'Data entry'!$F$16*'Data entry'!$F$23)+$I$50))),0),ROUNDUP((1/$G116)*(('Data entry'!$F$16+'Data entry'!$F$16*'Data entry'!$F$23)+$I$50),0))</f>
        <v>4</v>
      </c>
      <c r="J116" s="326"/>
      <c r="K116" s="283">
        <v>1376</v>
      </c>
      <c r="L116" s="823"/>
      <c r="M116" s="2" t="s">
        <v>225</v>
      </c>
    </row>
    <row r="117" spans="2:13" ht="15" customHeight="1">
      <c r="B117" s="297" t="s">
        <v>117</v>
      </c>
      <c r="C117" s="822"/>
      <c r="D117" s="826"/>
      <c r="E117" s="4" t="s">
        <v>118</v>
      </c>
      <c r="F117" s="827"/>
      <c r="G117" s="27">
        <v>100</v>
      </c>
      <c r="H117" s="2">
        <f>IF(Equipment!$I$42&gt;=1,ROUNDUP(((1+'Data entry'!$C$33)*((1/G117)*(('Data entry'!$C$16+'Data entry'!$C$16*'Data entry'!$C$23)+$H$50))),0),ROUNDUP((1/G117)*(('Data entry'!$C$16+'Data entry'!$C$16*'Data entry'!$C$23)+$H$50),0))</f>
        <v>7</v>
      </c>
      <c r="I117" s="2">
        <f>IF(Equipment!$I$42&gt;=1,ROUNDUP(((1+'Data entry'!$C$33)*((1/$G117)*(('Data entry'!$F$16+'Data entry'!$F$16*'Data entry'!$F$23)+$I$50))),0),ROUNDUP((1/$G117)*(('Data entry'!$F$16+'Data entry'!$F$16*'Data entry'!$F$23)+$I$50),0))</f>
        <v>4</v>
      </c>
      <c r="J117" s="465"/>
      <c r="K117" s="283">
        <v>460</v>
      </c>
      <c r="L117" s="823"/>
      <c r="M117" s="299" t="s">
        <v>119</v>
      </c>
    </row>
    <row r="118" spans="2:13" ht="15.6">
      <c r="B118" s="298" t="s">
        <v>120</v>
      </c>
      <c r="C118" s="822"/>
      <c r="D118" s="826"/>
      <c r="E118" s="303" t="s">
        <v>121</v>
      </c>
      <c r="F118" s="827"/>
      <c r="G118" s="27">
        <v>1000</v>
      </c>
      <c r="H118" s="2">
        <f>IF(Equipment!$I$42&gt;=1,ROUNDUP(((1+'Data entry'!$C$33)*((1/G118)*(('Data entry'!$C$16+'Data entry'!$C$16*'Data entry'!$C$23)+$H$50))),0),ROUNDUP((1/G118)*(('Data entry'!$C$16+'Data entry'!$C$16*'Data entry'!$C$23)+$H$50),0))</f>
        <v>1</v>
      </c>
      <c r="I118" s="2">
        <f>IF(Equipment!$I$42&gt;=1,ROUNDUP(((1+'Data entry'!$C$33)*((1/$G118)*(('Data entry'!$F$16+'Data entry'!$F$16*'Data entry'!$F$23)+$I$50))),0),ROUNDUP((1/$G118)*(('Data entry'!$F$16+'Data entry'!$F$16*'Data entry'!$F$23)+$I$50),0))</f>
        <v>1</v>
      </c>
      <c r="J118" s="465"/>
      <c r="K118" s="283">
        <v>65</v>
      </c>
      <c r="L118" s="823"/>
      <c r="M118" s="17"/>
    </row>
    <row r="119" spans="2:13" ht="85.5" customHeight="1">
      <c r="B119" s="518"/>
      <c r="C119" s="460" t="s">
        <v>234</v>
      </c>
      <c r="D119" s="4" t="s">
        <v>235</v>
      </c>
      <c r="E119" s="4" t="s">
        <v>235</v>
      </c>
      <c r="F119" s="530" t="s">
        <v>236</v>
      </c>
      <c r="G119" s="2">
        <v>24</v>
      </c>
      <c r="H119" s="2">
        <f>IF(Equipment!$I$42&gt;=1,ROUNDUP(((1+'Data entry'!$C$33)*((1/G119)*(('Data entry'!$C$16+'Data entry'!$C$16*'Data entry'!$C$23)+$H$50))),0),ROUNDUP((1/G119)*(('Data entry'!$C$16+'Data entry'!$C$16*'Data entry'!$C$23)+$H$50),0))</f>
        <v>27</v>
      </c>
      <c r="I119" s="2">
        <f>IF(Equipment!$I$42&gt;=1,ROUNDUP(((1+'Data entry'!$C$33)*((1/$G119)*(('Data entry'!$F$16+'Data entry'!$F$16*'Data entry'!$F$23)+$I$50))),0),ROUNDUP((1/$G119)*(('Data entry'!$F$16+'Data entry'!$F$16*'Data entry'!$F$23)+$I$50),0))</f>
        <v>15</v>
      </c>
      <c r="J119" s="2">
        <v>24</v>
      </c>
      <c r="K119" s="283">
        <v>900</v>
      </c>
      <c r="L119" s="519" t="s">
        <v>4</v>
      </c>
      <c r="M119" s="327" t="s">
        <v>237</v>
      </c>
    </row>
    <row r="120" spans="2:13">
      <c r="B120" s="468"/>
      <c r="C120" s="327"/>
      <c r="D120" s="4"/>
      <c r="E120" s="469"/>
      <c r="F120" s="516"/>
      <c r="G120" s="2"/>
      <c r="H120" s="2" t="e">
        <f>IF(Equipment!$I$42&gt;=1,ROUNDUP(((1+'Data entry'!$C$33)*((1/G120)*(('Data entry'!$C$16+'Data entry'!$C$16*'Data entry'!$C$23)+$H$50))),0),ROUNDUP((1/G120)*(('Data entry'!$C$16+'Data entry'!$C$16*'Data entry'!$C$23)+$H$50),0))</f>
        <v>#DIV/0!</v>
      </c>
      <c r="I120" s="2" t="e">
        <f>IF(Equipment!$I$42&gt;=1,ROUNDUP(((1+'Data entry'!$C$33)*((1/$G120)*(('Data entry'!$F$16+'Data entry'!$F$16*'Data entry'!$F$23)+$I$50))),0),ROUNDUP((1/$G120)*(('Data entry'!$F$16+'Data entry'!$F$16*'Data entry'!$F$23)+$I$50),0))</f>
        <v>#DIV/0!</v>
      </c>
      <c r="J120" s="2"/>
      <c r="K120" s="308"/>
      <c r="L120" s="517"/>
      <c r="M120" s="327"/>
    </row>
    <row r="121" spans="2:13" ht="30.75" customHeight="1">
      <c r="B121" s="470"/>
      <c r="C121" s="327"/>
      <c r="D121" s="4"/>
      <c r="E121" s="471"/>
      <c r="F121" s="516"/>
      <c r="G121" s="2"/>
      <c r="H121" s="2" t="e">
        <f>IF(Equipment!$I$42&gt;=1,ROUNDUP(((1+'Data entry'!$C$33)*((1/G121)*(('Data entry'!$C$16+'Data entry'!$C$16*'Data entry'!$C$23)+$H$50))),0),ROUNDUP((1/G121)*(('Data entry'!$C$16+'Data entry'!$C$16*'Data entry'!$C$23)+$H$50),0))</f>
        <v>#DIV/0!</v>
      </c>
      <c r="I121" s="2" t="e">
        <f>IF(Equipment!$I$42&gt;=1,ROUNDUP(((1+'Data entry'!$C$33)*((1/$G121)*(('Data entry'!$F$16+'Data entry'!$F$16*'Data entry'!$F$23)+$I$50))),0),ROUNDUP((1/$G121)*(('Data entry'!$F$16+'Data entry'!$F$16*'Data entry'!$F$23)+$I$50),0))</f>
        <v>#DIV/0!</v>
      </c>
      <c r="J121" s="2"/>
      <c r="K121" s="308"/>
      <c r="L121" s="517"/>
      <c r="M121" s="2"/>
    </row>
    <row r="122" spans="2:13" ht="34.5" customHeight="1">
      <c r="B122" s="472"/>
      <c r="C122" s="327"/>
      <c r="D122" s="4"/>
      <c r="E122" s="471"/>
      <c r="F122" s="516"/>
      <c r="G122" s="2"/>
      <c r="H122" s="2" t="e">
        <f>IF(Equipment!$I$42&gt;=1,ROUNDUP(((1+'Data entry'!$C$33)*((1/G122)*(('Data entry'!$C$16+'Data entry'!$C$16*'Data entry'!$C$23)+$H$50))),0),ROUNDUP((1/G122)*(('Data entry'!$C$16+'Data entry'!$C$16*'Data entry'!$C$23)+$H$50),0))</f>
        <v>#DIV/0!</v>
      </c>
      <c r="I122" s="2" t="e">
        <f>IF(Equipment!$I$42&gt;=1,ROUNDUP(((1+'Data entry'!$C$33)*((1/$G122)*(('Data entry'!$F$16+'Data entry'!$F$16*'Data entry'!$F$23)+$I$50))),0),ROUNDUP((1/$G122)*(('Data entry'!$F$16+'Data entry'!$F$16*'Data entry'!$F$23)+$I$50),0))</f>
        <v>#DIV/0!</v>
      </c>
      <c r="J122" s="2"/>
      <c r="K122" s="308"/>
      <c r="L122" s="517"/>
      <c r="M122" s="327"/>
    </row>
    <row r="123" spans="2:13">
      <c r="B123" s="473"/>
      <c r="C123" s="327"/>
      <c r="D123" s="4"/>
      <c r="E123" s="471"/>
      <c r="F123" s="516"/>
      <c r="G123" s="2"/>
      <c r="H123" s="2" t="e">
        <f>IF(Equipment!$I$42&gt;=1,ROUNDUP(((1+'Data entry'!$C$33)*((1/G123)*(('Data entry'!$C$16+'Data entry'!$C$16*'Data entry'!$C$23)+$H$50))),0),ROUNDUP((1/G123)*(('Data entry'!$C$16+'Data entry'!$C$16*'Data entry'!$C$23)+$H$50),0))</f>
        <v>#DIV/0!</v>
      </c>
      <c r="I123" s="2" t="e">
        <f>IF(Equipment!$I$42&gt;=1,ROUNDUP(((1+'Data entry'!$C$33)*((1/$G123)*(('Data entry'!$F$16+'Data entry'!$F$16*'Data entry'!$F$23)+$I$50))),0),ROUNDUP((1/$G123)*(('Data entry'!$F$16+'Data entry'!$F$16*'Data entry'!$F$23)+$I$50),0))</f>
        <v>#DIV/0!</v>
      </c>
      <c r="J123" s="2"/>
      <c r="K123" s="283"/>
      <c r="L123" s="517"/>
      <c r="M123" s="2"/>
    </row>
    <row r="124" spans="2:13" ht="15.6">
      <c r="B124" s="474"/>
      <c r="C124" s="327"/>
      <c r="D124" s="4"/>
      <c r="E124" s="462"/>
      <c r="F124" s="516"/>
      <c r="G124" s="27"/>
      <c r="H124" s="2" t="e">
        <f>IF(Equipment!$I$42&gt;=1,ROUNDUP(((1+'Data entry'!$C$33)*((1/G124)*(('Data entry'!$C$16+'Data entry'!$C$16*'Data entry'!$C$23)+$H$50))),0),ROUNDUP((1/G124)*(('Data entry'!$C$16+'Data entry'!$C$16*'Data entry'!$C$23)+$H$50),0))</f>
        <v>#DIV/0!</v>
      </c>
      <c r="I124" s="2" t="e">
        <f>IF(Equipment!$I$42&gt;=1,ROUNDUP(((1+'Data entry'!$C$33)*((1/$G124)*(('Data entry'!$F$16+'Data entry'!$F$16*'Data entry'!$F$23)+$I$50))),0),ROUNDUP((1/$G124)*(('Data entry'!$F$16+'Data entry'!$F$16*'Data entry'!$F$23)+$I$50),0))</f>
        <v>#DIV/0!</v>
      </c>
      <c r="J124" s="487"/>
      <c r="K124" s="283"/>
      <c r="L124" s="517"/>
      <c r="M124" s="16"/>
    </row>
    <row r="125" spans="2:13" ht="30" customHeight="1">
      <c r="B125" s="467"/>
      <c r="C125" s="497"/>
      <c r="D125" s="826"/>
      <c r="E125" s="35"/>
      <c r="F125" s="827"/>
      <c r="G125" s="2"/>
      <c r="H125" s="2" t="e">
        <f>IF(Equipment!$I$42&gt;=1,ROUNDUP(((1+'Data entry'!$C$33)*((1/G125)*(('Data entry'!$C$16+'Data entry'!$C$16*'Data entry'!$C$23)+$H$50))),0),ROUNDUP((1/G125)*(('Data entry'!$C$16+'Data entry'!$C$16*'Data entry'!$C$23)+$H$50),0))</f>
        <v>#DIV/0!</v>
      </c>
      <c r="I125" s="2" t="e">
        <f>IF(Equipment!$I$42&gt;=1,ROUNDUP(((1+'Data entry'!$C$33)*((1/$G125)*(('Data entry'!$F$16+'Data entry'!$F$16*'Data entry'!$F$23)+$I$50))),0),ROUNDUP((1/$G125)*(('Data entry'!$F$16+'Data entry'!$F$16*'Data entry'!$F$23)+$I$50),0))</f>
        <v>#DIV/0!</v>
      </c>
      <c r="J125" s="2"/>
      <c r="K125" s="283"/>
      <c r="L125" s="824"/>
      <c r="M125" s="327"/>
    </row>
    <row r="126" spans="2:13">
      <c r="B126" s="468"/>
      <c r="C126" s="495"/>
      <c r="D126" s="826"/>
      <c r="E126" s="469"/>
      <c r="F126" s="827"/>
      <c r="G126" s="2"/>
      <c r="H126" s="2" t="e">
        <f>IF(Equipment!$I$42&gt;=1,ROUNDUP(((1+'Data entry'!$C$33)*((1/G126)*(('Data entry'!$C$16+'Data entry'!$C$16*'Data entry'!$C$23)+$H$50))),0),ROUNDUP((1/G126)*(('Data entry'!$C$16+'Data entry'!$C$16*'Data entry'!$C$23)+$H$50),0))</f>
        <v>#DIV/0!</v>
      </c>
      <c r="I126" s="2" t="e">
        <f>IF(Equipment!$I$42&gt;=1,ROUNDUP(((1+'Data entry'!$C$33)*((1/$G126)*(('Data entry'!$F$16+'Data entry'!$F$16*'Data entry'!$F$23)+$I$50))),0),ROUNDUP((1/$G126)*(('Data entry'!$F$16+'Data entry'!$F$16*'Data entry'!$F$23)+$I$50),0))</f>
        <v>#DIV/0!</v>
      </c>
      <c r="J126" s="2"/>
      <c r="K126" s="308"/>
      <c r="L126" s="824"/>
      <c r="M126" s="327"/>
    </row>
    <row r="127" spans="2:13" ht="28.5" customHeight="1">
      <c r="B127" s="470"/>
      <c r="C127" s="495"/>
      <c r="D127" s="826"/>
      <c r="E127" s="471"/>
      <c r="F127" s="827"/>
      <c r="G127" s="2"/>
      <c r="H127" s="2" t="e">
        <f>IF(Equipment!$I$42&gt;=1,ROUNDUP(((1+'Data entry'!$C$33)*((1/G127)*(('Data entry'!$C$16+'Data entry'!$C$16*'Data entry'!$C$23)+$H$50))),0),ROUNDUP((1/G127)*(('Data entry'!$C$16+'Data entry'!$C$16*'Data entry'!$C$23)+$H$50),0))</f>
        <v>#DIV/0!</v>
      </c>
      <c r="I127" s="2" t="e">
        <f>IF(Equipment!$I$42&gt;=1,ROUNDUP(((1+'Data entry'!$C$33)*((1/$G127)*(('Data entry'!$F$16+'Data entry'!$F$16*'Data entry'!$F$23)+$I$50))),0),ROUNDUP((1/$G127)*(('Data entry'!$F$16+'Data entry'!$F$16*'Data entry'!$F$23)+$I$50),0))</f>
        <v>#DIV/0!</v>
      </c>
      <c r="J127" s="2"/>
      <c r="K127" s="308"/>
      <c r="L127" s="824"/>
      <c r="M127" s="2"/>
    </row>
    <row r="128" spans="2:13">
      <c r="B128" s="472"/>
      <c r="C128" s="495"/>
      <c r="D128" s="826"/>
      <c r="E128" s="471"/>
      <c r="F128" s="827"/>
      <c r="G128" s="2"/>
      <c r="H128" s="2" t="e">
        <f>IF(Equipment!$I$42&gt;=1,ROUNDUP(((1+'Data entry'!$C$33)*((1/G128)*(('Data entry'!$C$16+'Data entry'!$C$16*'Data entry'!$C$23)+$H$50))),0),ROUNDUP((1/G128)*(('Data entry'!$C$16+'Data entry'!$C$16*'Data entry'!$C$23)+$H$50),0))</f>
        <v>#DIV/0!</v>
      </c>
      <c r="I128" s="2" t="e">
        <f>IF(Equipment!$I$42&gt;=1,ROUNDUP(((1+'Data entry'!$C$33)*((1/$G128)*(('Data entry'!$F$16+'Data entry'!$F$16*'Data entry'!$F$23)+$I$50))),0),ROUNDUP((1/$G128)*(('Data entry'!$F$16+'Data entry'!$F$16*'Data entry'!$F$23)+$I$50),0))</f>
        <v>#DIV/0!</v>
      </c>
      <c r="J128" s="2"/>
      <c r="K128" s="308"/>
      <c r="L128" s="824"/>
      <c r="M128" s="327"/>
    </row>
    <row r="129" spans="1:13">
      <c r="B129" s="473"/>
      <c r="C129" s="495"/>
      <c r="D129" s="826"/>
      <c r="E129" s="471"/>
      <c r="F129" s="827"/>
      <c r="G129" s="2"/>
      <c r="H129" s="2" t="e">
        <f>IF(Equipment!$I$42&gt;=1,ROUNDUP(((1+'Data entry'!$C$33)*((1/G129)*(('Data entry'!$C$16+'Data entry'!$C$16*'Data entry'!$C$23)+$H$50))),0),ROUNDUP((1/G129)*(('Data entry'!$C$16+'Data entry'!$C$16*'Data entry'!$C$23)+$H$50),0))</f>
        <v>#DIV/0!</v>
      </c>
      <c r="I129" s="2" t="e">
        <f>IF(Equipment!$I$42&gt;=1,ROUNDUP(((1+'Data entry'!$C$33)*((1/$G129)*(('Data entry'!$F$16+'Data entry'!$F$16*'Data entry'!$F$23)+$I$50))),0),ROUNDUP((1/$G129)*(('Data entry'!$F$16+'Data entry'!$F$16*'Data entry'!$F$23)+$I$50),0))</f>
        <v>#DIV/0!</v>
      </c>
      <c r="J129" s="2"/>
      <c r="K129" s="283"/>
      <c r="L129" s="824"/>
      <c r="M129" s="2"/>
    </row>
    <row r="130" spans="1:13" ht="15.6">
      <c r="B130" s="474"/>
      <c r="C130" s="495"/>
      <c r="D130" s="826"/>
      <c r="E130" s="462"/>
      <c r="F130" s="827"/>
      <c r="G130" s="27"/>
      <c r="H130" s="2" t="e">
        <f>IF(Equipment!$I$42&gt;=1,ROUNDUP(((1+'Data entry'!$C$33)*((1/G130)*(('Data entry'!$C$16+'Data entry'!$C$16*'Data entry'!$C$23)+$H$50))),0),ROUNDUP((1/G130)*(('Data entry'!$C$16+'Data entry'!$C$16*'Data entry'!$C$23)+$H$50),0))</f>
        <v>#DIV/0!</v>
      </c>
      <c r="I130" s="2" t="e">
        <f>IF(Equipment!$I$42&gt;=1,ROUNDUP(((1+'Data entry'!$C$33)*((1/$G130)*(('Data entry'!$F$16+'Data entry'!$F$16*'Data entry'!$F$23)+$I$50))),0),ROUNDUP((1/$G130)*(('Data entry'!$F$16+'Data entry'!$F$16*'Data entry'!$F$23)+$I$50),0))</f>
        <v>#DIV/0!</v>
      </c>
      <c r="J130" s="487"/>
      <c r="K130" s="283"/>
      <c r="L130" s="824"/>
      <c r="M130" s="16"/>
    </row>
    <row r="131" spans="1:13">
      <c r="A131" s="475" t="s">
        <v>238</v>
      </c>
      <c r="B131" s="318"/>
      <c r="C131" s="825" t="s">
        <v>111</v>
      </c>
      <c r="D131" s="826" t="s">
        <v>239</v>
      </c>
      <c r="E131" s="4" t="s">
        <v>240</v>
      </c>
      <c r="F131" s="839" t="s">
        <v>217</v>
      </c>
      <c r="G131" s="2">
        <f>24*6</f>
        <v>144</v>
      </c>
      <c r="H131" s="2">
        <f>IF(Equipment!$I$42&gt;=1,ROUNDUP(((1+'Data entry'!$C$33)*((1/G131)*(('Data entry'!$C$16+'Data entry'!$C$16*'Data entry'!$C$23)+$H$50))),0),ROUNDUP((1/G131)*(('Data entry'!$C$16+'Data entry'!$C$16*'Data entry'!$C$23)+$H$50),0))</f>
        <v>5</v>
      </c>
      <c r="I131" s="2">
        <f>IF(Equipment!$I$42&gt;=1,ROUNDUP(((1+'Data entry'!$C$33)*((1/$G131)*(('Data entry'!$F$16+'Data entry'!$F$16*'Data entry'!$F$23)+$I$50))),0),ROUNDUP((1/$G131)*(('Data entry'!$F$16+'Data entry'!$F$16*'Data entry'!$F$23)+$I$50),0))</f>
        <v>3</v>
      </c>
      <c r="J131" s="2">
        <v>24</v>
      </c>
      <c r="K131" s="283">
        <v>699</v>
      </c>
      <c r="L131" s="823" t="s">
        <v>75</v>
      </c>
      <c r="M131" s="327" t="s">
        <v>241</v>
      </c>
    </row>
    <row r="132" spans="1:13">
      <c r="A132" s="475"/>
      <c r="B132" s="505"/>
      <c r="C132" s="825"/>
      <c r="D132" s="826"/>
      <c r="E132" s="35" t="s">
        <v>159</v>
      </c>
      <c r="F132" s="839"/>
      <c r="G132" s="2">
        <v>200</v>
      </c>
      <c r="H132" s="2">
        <f>IF(Equipment!$I$42&gt;=1,ROUNDUP(((1+'Data entry'!$C$33)*((1/G132)*(('Data entry'!$C$16+'Data entry'!$C$16*'Data entry'!$C$23)+$H$50))),0),ROUNDUP((1/G132)*(('Data entry'!$C$16+'Data entry'!$C$16*'Data entry'!$C$23)+$H$50),0))</f>
        <v>4</v>
      </c>
      <c r="I132" s="2">
        <f>IF(Equipment!$I$42&gt;=1,ROUNDUP(((1+'Data entry'!$C$33)*((1/$G132)*(('Data entry'!$F$16+'Data entry'!$F$16*'Data entry'!$F$23)+$I$50))),0),ROUNDUP((1/$G132)*(('Data entry'!$F$16+'Data entry'!$F$16*'Data entry'!$F$23)+$I$50),0))</f>
        <v>2</v>
      </c>
      <c r="J132" s="465"/>
      <c r="K132" s="283">
        <v>2031</v>
      </c>
      <c r="L132" s="823"/>
      <c r="M132" s="327" t="s">
        <v>160</v>
      </c>
    </row>
    <row r="133" spans="1:13" ht="15.6">
      <c r="A133" s="475"/>
      <c r="B133" s="297" t="s">
        <v>117</v>
      </c>
      <c r="C133" s="825"/>
      <c r="D133" s="826"/>
      <c r="E133" s="4" t="s">
        <v>118</v>
      </c>
      <c r="F133" s="839"/>
      <c r="G133" s="27">
        <v>100</v>
      </c>
      <c r="H133" s="2">
        <f>IF(Equipment!$I$42&gt;=1,ROUNDUP(((1+'Data entry'!$C$33)*((1/G133)*(('Data entry'!$C$16+'Data entry'!$C$16*'Data entry'!$C$23)+$H$50))),0),ROUNDUP((1/G133)*(('Data entry'!$C$16+'Data entry'!$C$16*'Data entry'!$C$23)+$H$50),0))</f>
        <v>7</v>
      </c>
      <c r="I133" s="2">
        <f>IF(Equipment!$I$42&gt;=1,ROUNDUP(((1+'Data entry'!$C$33)*((1/$G133)*(('Data entry'!$F$16+'Data entry'!$F$16*'Data entry'!$F$23)+$I$50))),0),ROUNDUP((1/$G133)*(('Data entry'!$F$16+'Data entry'!$F$16*'Data entry'!$F$23)+$I$50),0))</f>
        <v>4</v>
      </c>
      <c r="J133" s="465"/>
      <c r="K133" s="283">
        <v>460</v>
      </c>
      <c r="L133" s="823"/>
      <c r="M133" s="299" t="s">
        <v>119</v>
      </c>
    </row>
    <row r="134" spans="1:13" ht="15.6">
      <c r="B134" s="298" t="s">
        <v>120</v>
      </c>
      <c r="C134" s="825"/>
      <c r="D134" s="826"/>
      <c r="E134" s="303" t="s">
        <v>121</v>
      </c>
      <c r="F134" s="839"/>
      <c r="G134" s="27">
        <v>1000</v>
      </c>
      <c r="H134" s="2">
        <f>IF(Equipment!$I$42&gt;=1,ROUNDUP(((1+'Data entry'!$C$33)*((1/G134)*(('Data entry'!$C$16+'Data entry'!$C$16*'Data entry'!$C$23)+$H$50))),0),ROUNDUP((1/G134)*(('Data entry'!$C$16+'Data entry'!$C$16*'Data entry'!$C$23)+$H$50),0))</f>
        <v>1</v>
      </c>
      <c r="I134" s="2">
        <f>IF(Equipment!$I$42&gt;=1,ROUNDUP(((1+'Data entry'!$C$33)*((1/$G134)*(('Data entry'!$F$16+'Data entry'!$F$16*'Data entry'!$F$23)+$I$50))),0),ROUNDUP((1/$G134)*(('Data entry'!$F$16+'Data entry'!$F$16*'Data entry'!$F$23)+$I$50),0))</f>
        <v>1</v>
      </c>
      <c r="J134" s="465"/>
      <c r="K134" s="283">
        <v>65</v>
      </c>
      <c r="L134" s="823"/>
      <c r="M134" s="17"/>
    </row>
    <row r="135" spans="1:13">
      <c r="B135" s="318"/>
      <c r="C135" s="825" t="s">
        <v>111</v>
      </c>
      <c r="D135" s="826" t="s">
        <v>242</v>
      </c>
      <c r="E135" s="4" t="s">
        <v>243</v>
      </c>
      <c r="F135" s="839" t="s">
        <v>217</v>
      </c>
      <c r="G135" s="2">
        <f>3*96</f>
        <v>288</v>
      </c>
      <c r="H135" s="2">
        <f>IF(Equipment!$I$42&gt;=1,ROUNDUP(((1+'Data entry'!$C$33)*((1/G135)*(('Data entry'!$C$16+'Data entry'!$C$16*'Data entry'!$C$23)+$H$50))),0),ROUNDUP((1/G135)*(('Data entry'!$C$16+'Data entry'!$C$16*'Data entry'!$C$23)+$H$50),0))</f>
        <v>3</v>
      </c>
      <c r="I135" s="2">
        <f>IF(Equipment!$I$42&gt;=1,ROUNDUP(((1+'Data entry'!$C$33)*((1/$G135)*(('Data entry'!$F$16+'Data entry'!$F$16*'Data entry'!$F$23)+$I$50))),0),ROUNDUP((1/$G135)*(('Data entry'!$F$16+'Data entry'!$F$16*'Data entry'!$F$23)+$I$50),0))</f>
        <v>2</v>
      </c>
      <c r="J135" s="2">
        <v>96</v>
      </c>
      <c r="K135" s="283">
        <v>990</v>
      </c>
      <c r="L135" s="823" t="s">
        <v>75</v>
      </c>
      <c r="M135" s="327" t="s">
        <v>244</v>
      </c>
    </row>
    <row r="136" spans="1:13">
      <c r="B136" s="505"/>
      <c r="C136" s="825"/>
      <c r="D136" s="826"/>
      <c r="E136" s="35" t="s">
        <v>159</v>
      </c>
      <c r="F136" s="839"/>
      <c r="G136" s="2">
        <v>200</v>
      </c>
      <c r="H136" s="2">
        <f>IF(Equipment!$I$42&gt;=1,ROUNDUP(((1+'Data entry'!$C$33)*((1/G136)*(('Data entry'!$C$16+'Data entry'!$C$16*'Data entry'!$C$23)+$H$50))),0),ROUNDUP((1/G136)*(('Data entry'!$C$16+'Data entry'!$C$16*'Data entry'!$C$23)+$H$50),0))</f>
        <v>4</v>
      </c>
      <c r="I136" s="2">
        <f>IF(Equipment!$I$42&gt;=1,ROUNDUP(((1+'Data entry'!$C$33)*((1/$G136)*(('Data entry'!$F$16+'Data entry'!$F$16*'Data entry'!$F$23)+$I$50))),0),ROUNDUP((1/$G136)*(('Data entry'!$F$16+'Data entry'!$F$16*'Data entry'!$F$23)+$I$50),0))</f>
        <v>2</v>
      </c>
      <c r="J136" s="465"/>
      <c r="K136" s="283">
        <v>2031</v>
      </c>
      <c r="L136" s="823"/>
      <c r="M136" s="327" t="s">
        <v>160</v>
      </c>
    </row>
    <row r="137" spans="1:13" ht="15.6">
      <c r="B137" s="297" t="s">
        <v>117</v>
      </c>
      <c r="C137" s="825"/>
      <c r="D137" s="826"/>
      <c r="E137" s="4" t="s">
        <v>118</v>
      </c>
      <c r="F137" s="839"/>
      <c r="G137" s="27">
        <v>100</v>
      </c>
      <c r="H137" s="2">
        <f>IF(Equipment!$I$42&gt;=1,ROUNDUP(((1+'Data entry'!$C$33)*((1/G137)*(('Data entry'!$C$16+'Data entry'!$C$16*'Data entry'!$C$23)+$H$50))),0),ROUNDUP((1/G137)*(('Data entry'!$C$16+'Data entry'!$C$16*'Data entry'!$C$23)+$H$50),0))</f>
        <v>7</v>
      </c>
      <c r="I137" s="2">
        <f>IF(Equipment!$I$42&gt;=1,ROUNDUP(((1+'Data entry'!$C$33)*((1/$G137)*(('Data entry'!$F$16+'Data entry'!$F$16*'Data entry'!$F$23)+$I$50))),0),ROUNDUP((1/$G137)*(('Data entry'!$F$16+'Data entry'!$F$16*'Data entry'!$F$23)+$I$50),0))</f>
        <v>4</v>
      </c>
      <c r="J137" s="465"/>
      <c r="K137" s="283">
        <v>460</v>
      </c>
      <c r="L137" s="823"/>
      <c r="M137" s="299" t="s">
        <v>119</v>
      </c>
    </row>
    <row r="138" spans="1:13" ht="15.6">
      <c r="B138" s="298" t="s">
        <v>120</v>
      </c>
      <c r="C138" s="825"/>
      <c r="D138" s="826"/>
      <c r="E138" s="303" t="s">
        <v>121</v>
      </c>
      <c r="F138" s="839"/>
      <c r="G138" s="27">
        <v>1000</v>
      </c>
      <c r="H138" s="2">
        <f>IF(Equipment!$I$42&gt;=1,ROUNDUP(((1+'Data entry'!$C$33)*((1/G138)*(('Data entry'!$C$16+'Data entry'!$C$16*'Data entry'!$C$23)+$H$50))),0),ROUNDUP((1/G138)*(('Data entry'!$C$16+'Data entry'!$C$16*'Data entry'!$C$23)+$H$50),0))</f>
        <v>1</v>
      </c>
      <c r="I138" s="2">
        <f>IF(Equipment!$I$42&gt;=1,ROUNDUP(((1+'Data entry'!$C$33)*((1/$G138)*(('Data entry'!$F$16+'Data entry'!$F$16*'Data entry'!$F$23)+$I$50))),0),ROUNDUP((1/$G138)*(('Data entry'!$F$16+'Data entry'!$F$16*'Data entry'!$F$23)+$I$50),0))</f>
        <v>1</v>
      </c>
      <c r="J138" s="465"/>
      <c r="K138" s="283">
        <v>65</v>
      </c>
      <c r="L138" s="823"/>
      <c r="M138" s="17"/>
    </row>
    <row r="139" spans="1:13" ht="30" customHeight="1">
      <c r="B139" s="318"/>
      <c r="C139" s="825" t="s">
        <v>111</v>
      </c>
      <c r="D139" s="826" t="s">
        <v>245</v>
      </c>
      <c r="E139" s="4" t="s">
        <v>246</v>
      </c>
      <c r="F139" s="839" t="s">
        <v>217</v>
      </c>
      <c r="G139" s="2">
        <f>6*24</f>
        <v>144</v>
      </c>
      <c r="H139" s="2">
        <f>IF(Equipment!$I$42&gt;=1,ROUNDUP(((1+'Data entry'!$C$33)*((1/G139)*(('Data entry'!$C$16+'Data entry'!$C$16*'Data entry'!$C$23)+$H$50))),0),ROUNDUP((1/G139)*(('Data entry'!$C$16+'Data entry'!$C$16*'Data entry'!$C$23)+$H$50),0))</f>
        <v>5</v>
      </c>
      <c r="I139" s="2">
        <f>IF(Equipment!$I$42&gt;=1,ROUNDUP(((1+'Data entry'!$C$33)*((1/$G139)*(('Data entry'!$F$16+'Data entry'!$F$16*'Data entry'!$F$23)+$I$50))),0),ROUNDUP((1/$G139)*(('Data entry'!$F$16+'Data entry'!$F$16*'Data entry'!$F$23)+$I$50),0))</f>
        <v>3</v>
      </c>
      <c r="J139" s="2">
        <v>24</v>
      </c>
      <c r="K139" s="283">
        <v>699</v>
      </c>
      <c r="L139" s="823" t="s">
        <v>75</v>
      </c>
      <c r="M139" s="327" t="s">
        <v>247</v>
      </c>
    </row>
    <row r="140" spans="1:13">
      <c r="B140" s="310"/>
      <c r="C140" s="825"/>
      <c r="D140" s="826"/>
      <c r="E140" s="4" t="s">
        <v>248</v>
      </c>
      <c r="F140" s="827"/>
      <c r="G140" s="2">
        <v>100</v>
      </c>
      <c r="H140" s="2">
        <f>IF(Equipment!$I$42&gt;=1,ROUNDUP(((1+'Data entry'!$C$33)*((1/G140)*(('Data entry'!$C$16+'Data entry'!$C$16*'Data entry'!$C$23)+$H$50))),0),ROUNDUP((1/G140)*(('Data entry'!$C$16+'Data entry'!$C$16*'Data entry'!$C$23)+$H$50),0))</f>
        <v>7</v>
      </c>
      <c r="I140" s="2">
        <f>IF(Equipment!$I$42&gt;=1,ROUNDUP(((1+'Data entry'!$C$33)*((1/$G140)*(('Data entry'!$F$16+'Data entry'!$F$16*'Data entry'!$F$23)+$I$50))),0),ROUNDUP((1/$G140)*(('Data entry'!$F$16+'Data entry'!$F$16*'Data entry'!$F$23)+$I$50),0))</f>
        <v>4</v>
      </c>
      <c r="J140" s="326"/>
      <c r="K140" s="308">
        <v>165</v>
      </c>
      <c r="L140" s="823"/>
      <c r="M140" s="327" t="s">
        <v>249</v>
      </c>
    </row>
    <row r="141" spans="1:13">
      <c r="B141" s="310"/>
      <c r="C141" s="825"/>
      <c r="D141" s="826"/>
      <c r="E141" s="35" t="s">
        <v>159</v>
      </c>
      <c r="F141" s="827"/>
      <c r="G141" s="2">
        <v>200</v>
      </c>
      <c r="H141" s="2">
        <f>IF(Equipment!$I$42&gt;=1,ROUNDUP(((1+'Data entry'!$C$33)*((1/G141)*(('Data entry'!$C$16+'Data entry'!$C$16*'Data entry'!$C$23)+$H$50))),0),ROUNDUP((1/G141)*(('Data entry'!$C$16+'Data entry'!$C$16*'Data entry'!$C$23)+$H$50),0))</f>
        <v>4</v>
      </c>
      <c r="I141" s="2">
        <f>IF(Equipment!$I$42&gt;=1,ROUNDUP(((1+'Data entry'!$C$33)*((1/$G141)*(('Data entry'!$F$16+'Data entry'!$F$16*'Data entry'!$F$23)+$I$50))),0),ROUNDUP((1/$G141)*(('Data entry'!$F$16+'Data entry'!$F$16*'Data entry'!$F$23)+$I$50),0))</f>
        <v>2</v>
      </c>
      <c r="J141" s="326"/>
      <c r="K141" s="283">
        <v>2031</v>
      </c>
      <c r="L141" s="823"/>
      <c r="M141" s="327" t="s">
        <v>160</v>
      </c>
    </row>
    <row r="142" spans="1:13" ht="15.6">
      <c r="B142" s="297" t="s">
        <v>117</v>
      </c>
      <c r="C142" s="825"/>
      <c r="D142" s="826"/>
      <c r="E142" s="4" t="s">
        <v>118</v>
      </c>
      <c r="F142" s="827"/>
      <c r="G142" s="27">
        <v>100</v>
      </c>
      <c r="H142" s="2">
        <f>IF(Equipment!$I$42&gt;=1,ROUNDUP(((1+'Data entry'!$C$33)*((1/G142)*(('Data entry'!$C$16+'Data entry'!$C$16*'Data entry'!$C$23)+$H$50))),0),ROUNDUP((1/G142)*(('Data entry'!$C$16+'Data entry'!$C$16*'Data entry'!$C$23)+$H$50),0))</f>
        <v>7</v>
      </c>
      <c r="I142" s="2">
        <f>IF(Equipment!$I$42&gt;=1,ROUNDUP(((1+'Data entry'!$C$33)*((1/$G142)*(('Data entry'!$F$16+'Data entry'!$F$16*'Data entry'!$F$23)+$I$50))),0),ROUNDUP((1/$G142)*(('Data entry'!$F$16+'Data entry'!$F$16*'Data entry'!$F$23)+$I$50),0))</f>
        <v>4</v>
      </c>
      <c r="J142" s="326"/>
      <c r="K142" s="283">
        <v>460</v>
      </c>
      <c r="L142" s="823"/>
      <c r="M142" s="299" t="s">
        <v>119</v>
      </c>
    </row>
    <row r="143" spans="1:13" ht="15.6">
      <c r="B143" s="298" t="s">
        <v>120</v>
      </c>
      <c r="C143" s="825"/>
      <c r="D143" s="826"/>
      <c r="E143" s="303" t="s">
        <v>121</v>
      </c>
      <c r="F143" s="827"/>
      <c r="G143" s="27">
        <v>1000</v>
      </c>
      <c r="H143" s="2">
        <f>IF(Equipment!$I$42&gt;=1,ROUNDUP(((1+'Data entry'!$C$33)*((1/G143)*(('Data entry'!$C$16+'Data entry'!$C$16*'Data entry'!$C$23)+$H$50))),0),ROUNDUP((1/G143)*(('Data entry'!$C$16+'Data entry'!$C$16*'Data entry'!$C$23)+$H$50),0))</f>
        <v>1</v>
      </c>
      <c r="I143" s="2">
        <f>IF(Equipment!$I$42&gt;=1,ROUNDUP(((1+'Data entry'!$C$33)*((1/$G143)*(('Data entry'!$F$16+'Data entry'!$F$16*'Data entry'!$F$23)+$I$50))),0),ROUNDUP((1/$G143)*(('Data entry'!$F$16+'Data entry'!$F$16*'Data entry'!$F$23)+$I$50),0))</f>
        <v>1</v>
      </c>
      <c r="J143" s="465"/>
      <c r="K143" s="283">
        <v>65</v>
      </c>
      <c r="L143" s="823"/>
      <c r="M143" s="17"/>
    </row>
    <row r="144" spans="1:13" ht="28.8">
      <c r="B144" s="296"/>
      <c r="C144" s="822" t="s">
        <v>177</v>
      </c>
      <c r="D144" s="826" t="s">
        <v>250</v>
      </c>
      <c r="E144" s="4" t="s">
        <v>251</v>
      </c>
      <c r="F144" s="822" t="s">
        <v>252</v>
      </c>
      <c r="G144" s="2">
        <v>24</v>
      </c>
      <c r="H144" s="2">
        <f>IF(Equipment!$I$42&gt;=1,ROUNDUP(((1+'Data entry'!$C$33)*((1/G144)*(('Data entry'!$C$16+'Data entry'!$C$16*'Data entry'!$C$23)+$H$50))),0),ROUNDUP((1/G144)*(('Data entry'!$C$16+'Data entry'!$C$16*'Data entry'!$C$23)+$H$50),0))</f>
        <v>27</v>
      </c>
      <c r="I144" s="2">
        <f>IF(Equipment!$I$42&gt;=1,ROUNDUP(((1+'Data entry'!$C$33)*((1/$G144)*(('Data entry'!$F$16+'Data entry'!$F$16*'Data entry'!$F$23)+$I$50))),0),ROUNDUP((1/$G144)*(('Data entry'!$F$16+'Data entry'!$F$16*'Data entry'!$F$23)+$I$50),0))</f>
        <v>15</v>
      </c>
      <c r="J144" s="2">
        <v>24</v>
      </c>
      <c r="K144" s="489"/>
      <c r="L144" s="823" t="s">
        <v>75</v>
      </c>
      <c r="M144" s="489"/>
    </row>
    <row r="145" spans="1:13" ht="15.6">
      <c r="B145" s="297"/>
      <c r="C145" s="822"/>
      <c r="D145" s="826"/>
      <c r="E145" s="4" t="s">
        <v>253</v>
      </c>
      <c r="F145" s="840"/>
      <c r="G145" s="27">
        <v>200</v>
      </c>
      <c r="H145" s="2">
        <f>IF(Equipment!$I$42&gt;=1,ROUNDUP(((1+'Data entry'!$C$33)*((1/G145)*(('Data entry'!$C$16+'Data entry'!$C$16*'Data entry'!$C$23)+$H$50))),0),ROUNDUP((1/G145)*(('Data entry'!$C$16+'Data entry'!$C$16*'Data entry'!$C$23)+$H$50),0))</f>
        <v>4</v>
      </c>
      <c r="I145" s="2">
        <f>IF(Equipment!$I$42&gt;=1,ROUNDUP(((1+'Data entry'!$C$33)*((1/$G145)*(('Data entry'!$F$16+'Data entry'!$F$16*'Data entry'!$F$23)+$I$50))),0),ROUNDUP((1/$G145)*(('Data entry'!$F$16+'Data entry'!$F$16*'Data entry'!$F$23)+$I$50),0))</f>
        <v>2</v>
      </c>
      <c r="J145" s="465"/>
      <c r="K145" s="283">
        <v>2031</v>
      </c>
      <c r="L145" s="823"/>
      <c r="M145" s="17" t="s">
        <v>160</v>
      </c>
    </row>
    <row r="146" spans="1:13" ht="15.6">
      <c r="B146" s="297"/>
      <c r="C146" s="822"/>
      <c r="D146" s="826"/>
      <c r="E146" s="4" t="s">
        <v>216</v>
      </c>
      <c r="F146" s="840"/>
      <c r="G146" s="2">
        <f>J144*6</f>
        <v>144</v>
      </c>
      <c r="H146" s="2">
        <f>IF(Equipment!$I$42&gt;=1,ROUNDUP(((1+'Data entry'!$C$33)*((1/G146)*(('Data entry'!$C$16+'Data entry'!$C$16*'Data entry'!$C$23)+$H$50))),0),ROUNDUP((1/G146)*(('Data entry'!$C$16+'Data entry'!$C$16*'Data entry'!$C$23)+$H$50),0))</f>
        <v>5</v>
      </c>
      <c r="I146" s="2">
        <f>IF(Equipment!$I$42&gt;=1,ROUNDUP(((1+'Data entry'!$C$33)*((1/$G146)*(('Data entry'!$F$16+'Data entry'!$F$16*'Data entry'!$F$23)+$I$50))),0),ROUNDUP((1/$G146)*(('Data entry'!$F$16+'Data entry'!$F$16*'Data entry'!$F$23)+$I$50),0))</f>
        <v>3</v>
      </c>
      <c r="J146" s="2">
        <v>24</v>
      </c>
      <c r="K146" s="283">
        <v>599</v>
      </c>
      <c r="L146" s="823"/>
      <c r="M146" s="16" t="s">
        <v>218</v>
      </c>
    </row>
    <row r="147" spans="1:13" ht="315" customHeight="1">
      <c r="A147" s="477" t="s">
        <v>254</v>
      </c>
      <c r="B147" s="320"/>
      <c r="C147" s="822" t="s">
        <v>177</v>
      </c>
      <c r="D147" s="826" t="s">
        <v>255</v>
      </c>
      <c r="E147" s="4" t="s">
        <v>243</v>
      </c>
      <c r="F147" s="840" t="s">
        <v>256</v>
      </c>
      <c r="G147" s="2">
        <f>3*96</f>
        <v>288</v>
      </c>
      <c r="H147" s="2">
        <f>IF(Equipment!$I$42&gt;=1,ROUNDUP(((1+'Data entry'!$C$33)*((1/G147)*(('Data entry'!$C$16+'Data entry'!$C$16*'Data entry'!$C$23)+$H$50))),0),ROUNDUP((1/G147)*(('Data entry'!$C$16+'Data entry'!$C$16*'Data entry'!$C$23)+$H$50),0))</f>
        <v>3</v>
      </c>
      <c r="I147" s="2">
        <f>IF(Equipment!$I$42&gt;=1,ROUNDUP(((1+'Data entry'!$C$33)*((1/$G147)*(('Data entry'!$F$16+'Data entry'!$F$16*'Data entry'!$F$23)+$I$50))),0),ROUNDUP((1/$G147)*(('Data entry'!$F$16+'Data entry'!$F$16*'Data entry'!$F$23)+$I$50),0))</f>
        <v>2</v>
      </c>
      <c r="J147" s="2">
        <v>96</v>
      </c>
      <c r="K147" s="283">
        <v>990</v>
      </c>
      <c r="L147" s="823" t="s">
        <v>75</v>
      </c>
      <c r="M147" s="327" t="s">
        <v>244</v>
      </c>
    </row>
    <row r="148" spans="1:13" ht="15.6">
      <c r="B148" s="476"/>
      <c r="C148" s="822"/>
      <c r="D148" s="826"/>
      <c r="E148" s="4" t="s">
        <v>257</v>
      </c>
      <c r="F148" s="840"/>
      <c r="G148" s="27">
        <v>96</v>
      </c>
      <c r="H148" s="2">
        <f>IF(Equipment!$I$42&gt;=1,ROUNDUP(((1+'Data entry'!$C$33)*((1/G148)*(('Data entry'!$C$16+'Data entry'!$C$16*'Data entry'!$C$23)+$H$50))),0),ROUNDUP((1/G148)*(('Data entry'!$C$16+'Data entry'!$C$16*'Data entry'!$C$23)+$H$50),0))</f>
        <v>7</v>
      </c>
      <c r="I148" s="2">
        <f>IF(Equipment!$I$42&gt;=1,ROUNDUP(((1+'Data entry'!$C$33)*((1/$G148)*(('Data entry'!$F$16+'Data entry'!$F$16*'Data entry'!$F$23)+$I$50))),0),ROUNDUP((1/$G148)*(('Data entry'!$F$16+'Data entry'!$F$16*'Data entry'!$F$23)+$I$50),0))</f>
        <v>4</v>
      </c>
      <c r="J148" s="2">
        <v>96</v>
      </c>
      <c r="K148" s="489"/>
      <c r="L148" s="823"/>
      <c r="M148" s="16" t="s">
        <v>258</v>
      </c>
    </row>
    <row r="149" spans="1:13" ht="30" customHeight="1">
      <c r="A149" s="491" t="s">
        <v>259</v>
      </c>
      <c r="B149" s="479" t="s">
        <v>260</v>
      </c>
      <c r="C149" s="822" t="s">
        <v>261</v>
      </c>
      <c r="D149" s="837" t="s">
        <v>262</v>
      </c>
      <c r="E149" s="4" t="s">
        <v>263</v>
      </c>
      <c r="F149" s="823" t="s">
        <v>264</v>
      </c>
      <c r="G149" s="2">
        <v>10</v>
      </c>
      <c r="H149" s="2">
        <f>IF(Equipment!$I$42&gt;=1,ROUNDUP(((1+'Data entry'!$C$33)*((1/G149)*(('Data entry'!$C$16+'Data entry'!$C$16*'Data entry'!$C$23)+$H$50))),0),ROUNDUP((1/G149)*(('Data entry'!$C$16+'Data entry'!$C$16*'Data entry'!$C$23)+$H$50),0))</f>
        <v>64</v>
      </c>
      <c r="I149" s="2">
        <f>IF(Equipment!$I$42&gt;=1,ROUNDUP(((1+'Data entry'!$C$33)*((1/$G149)*(('Data entry'!$F$16+'Data entry'!$F$16*'Data entry'!$F$23)+$I$50))),0),ROUNDUP((1/$G149)*(('Data entry'!$F$16+'Data entry'!$F$16*'Data entry'!$F$23)+$I$50),0))</f>
        <v>35</v>
      </c>
      <c r="J149" s="2">
        <v>16</v>
      </c>
      <c r="K149" s="367"/>
      <c r="L149" s="823" t="s">
        <v>3</v>
      </c>
      <c r="M149" s="327">
        <v>4471269</v>
      </c>
    </row>
    <row r="150" spans="1:13">
      <c r="B150" s="468"/>
      <c r="C150" s="822"/>
      <c r="D150" s="837"/>
      <c r="E150" s="4" t="s">
        <v>265</v>
      </c>
      <c r="F150" s="823"/>
      <c r="G150" s="2">
        <v>16</v>
      </c>
      <c r="H150" s="2">
        <f>IF(Equipment!$I$42&gt;=1,ROUNDUP(((1+'Data entry'!$C$33)*((1/G150)*(('Data entry'!$C$16+'Data entry'!$C$16*'Data entry'!$C$23)+$H$50))),0),ROUNDUP((1/G150)*(('Data entry'!$C$16+'Data entry'!$C$16*'Data entry'!$C$23)+$H$50),0))</f>
        <v>40</v>
      </c>
      <c r="I150" s="2">
        <f>IF(Equipment!$I$42&gt;=1,ROUNDUP(((1+'Data entry'!$C$33)*((1/$G150)*(('Data entry'!$F$16+'Data entry'!$F$16*'Data entry'!$F$23)+$I$50))),0),ROUNDUP((1/$G150)*(('Data entry'!$F$16+'Data entry'!$F$16*'Data entry'!$F$23)+$I$50),0))</f>
        <v>22</v>
      </c>
      <c r="J150" s="2">
        <v>16</v>
      </c>
      <c r="K150" s="367"/>
      <c r="L150" s="823"/>
      <c r="M150" s="327">
        <v>4471250</v>
      </c>
    </row>
    <row r="151" spans="1:13" ht="15.6">
      <c r="B151" s="468"/>
      <c r="C151" s="822"/>
      <c r="D151" s="837"/>
      <c r="E151" s="35" t="s">
        <v>266</v>
      </c>
      <c r="F151" s="823"/>
      <c r="G151" s="2">
        <v>10</v>
      </c>
      <c r="H151" s="2">
        <f>IF(Equipment!$I$42&gt;=1,ROUNDUP(((1+'Data entry'!$C$33)*((1/G151)*(('Data entry'!$C$16+'Data entry'!$C$16*'Data entry'!$C$23)+$H$50))),0),ROUNDUP((1/G151)*(('Data entry'!$C$16+'Data entry'!$C$16*'Data entry'!$C$23)+$H$50),0))</f>
        <v>64</v>
      </c>
      <c r="I151" s="2">
        <f>IF(Equipment!$I$42&gt;=1,ROUNDUP(((1+'Data entry'!$C$33)*((1/$G151)*(('Data entry'!$F$16+'Data entry'!$F$16*'Data entry'!$F$23)+$I$50))),0),ROUNDUP((1/$G151)*(('Data entry'!$F$16+'Data entry'!$F$16*'Data entry'!$F$23)+$I$50),0))</f>
        <v>35</v>
      </c>
      <c r="J151" s="465"/>
      <c r="K151" s="367"/>
      <c r="L151" s="823"/>
      <c r="M151" s="17" t="s">
        <v>267</v>
      </c>
    </row>
    <row r="152" spans="1:13" ht="15.6">
      <c r="B152" s="298" t="s">
        <v>120</v>
      </c>
      <c r="C152" s="822"/>
      <c r="D152" s="837"/>
      <c r="E152" s="303" t="s">
        <v>121</v>
      </c>
      <c r="F152" s="823"/>
      <c r="G152" s="27">
        <v>1000</v>
      </c>
      <c r="H152" s="2">
        <f>IF(Equipment!$I$42&gt;=1,ROUNDUP(((1+'Data entry'!$C$33)*((1/G152)*(('Data entry'!$C$16+'Data entry'!$C$16*'Data entry'!$C$23)+$H$50))),0),ROUNDUP((1/G152)*(('Data entry'!$C$16+'Data entry'!$C$16*'Data entry'!$C$23)+$H$50),0))</f>
        <v>1</v>
      </c>
      <c r="I152" s="2">
        <f>IF(Equipment!$I$42&gt;=1,ROUNDUP(((1+'Data entry'!$C$33)*((1/$G152)*(('Data entry'!$F$16+'Data entry'!$F$16*'Data entry'!$F$23)+$I$50))),0),ROUNDUP((1/$G152)*(('Data entry'!$F$16+'Data entry'!$F$16*'Data entry'!$F$23)+$I$50),0))</f>
        <v>1</v>
      </c>
      <c r="J152" s="488"/>
      <c r="K152" s="367"/>
      <c r="L152" s="823"/>
      <c r="M152" s="17"/>
    </row>
    <row r="153" spans="1:13">
      <c r="B153" s="466"/>
      <c r="C153" s="822"/>
      <c r="D153" s="837"/>
      <c r="E153" s="486"/>
      <c r="F153" s="823"/>
      <c r="G153" s="465"/>
      <c r="H153" s="326"/>
      <c r="I153" s="326"/>
      <c r="J153" s="465"/>
      <c r="K153" s="494"/>
      <c r="L153" s="823"/>
      <c r="M153" s="498"/>
    </row>
    <row r="154" spans="1:13">
      <c r="B154" s="479" t="s">
        <v>268</v>
      </c>
      <c r="C154" s="825" t="s">
        <v>269</v>
      </c>
      <c r="D154" s="837" t="s">
        <v>270</v>
      </c>
      <c r="E154" s="35" t="s">
        <v>271</v>
      </c>
      <c r="F154" s="838" t="s">
        <v>264</v>
      </c>
      <c r="G154" s="2">
        <v>24</v>
      </c>
      <c r="H154" s="2">
        <f>IF(Equipment!$I$42&gt;=1,ROUNDUP(((1+'Data entry'!$C$33)*((1/G154)*(('Data entry'!$C$16+'Data entry'!$C$16*'Data entry'!$C$23)+$H$50))),0),ROUNDUP((1/G154)*(('Data entry'!$C$16+'Data entry'!$C$16*'Data entry'!$C$23)+$H$50),0))</f>
        <v>27</v>
      </c>
      <c r="I154" s="2">
        <f>IF(Equipment!$I$42&gt;=1,ROUNDUP(((1+'Data entry'!$C$33)*((1/$G154)*(('Data entry'!$F$16+'Data entry'!$F$16*'Data entry'!$F$23)+$I$50))),0),ROUNDUP((1/$G154)*(('Data entry'!$F$16+'Data entry'!$F$16*'Data entry'!$F$23)+$I$50),0))</f>
        <v>15</v>
      </c>
      <c r="J154" s="2">
        <v>96</v>
      </c>
      <c r="K154" s="367"/>
      <c r="L154" s="823" t="s">
        <v>4</v>
      </c>
      <c r="M154" s="327">
        <v>4488990</v>
      </c>
    </row>
    <row r="155" spans="1:13">
      <c r="B155" s="480"/>
      <c r="C155" s="825"/>
      <c r="D155" s="837"/>
      <c r="E155" s="4" t="s">
        <v>272</v>
      </c>
      <c r="F155" s="838"/>
      <c r="G155" s="2">
        <v>96</v>
      </c>
      <c r="H155" s="2">
        <f>IF(Equipment!$I$42&gt;=1,ROUNDUP(((1+'Data entry'!$C$33)*((1/G155)*(('Data entry'!$C$16+'Data entry'!$C$16*'Data entry'!$C$23)+$H$50))),0),ROUNDUP((1/G155)*(('Data entry'!$C$16+'Data entry'!$C$16*'Data entry'!$C$23)+$H$50),0))</f>
        <v>7</v>
      </c>
      <c r="I155" s="2">
        <f>IF(Equipment!$I$42&gt;=1,ROUNDUP(((1+'Data entry'!$C$33)*((1/$G155)*(('Data entry'!$F$16+'Data entry'!$F$16*'Data entry'!$F$23)+$I$50))),0),ROUNDUP((1/$G155)*(('Data entry'!$F$16+'Data entry'!$F$16*'Data entry'!$F$23)+$I$50),0))</f>
        <v>4</v>
      </c>
      <c r="J155" s="2">
        <v>96</v>
      </c>
      <c r="K155" s="367"/>
      <c r="L155" s="823"/>
      <c r="M155" s="327" t="s">
        <v>273</v>
      </c>
    </row>
    <row r="156" spans="1:13">
      <c r="B156" t="s">
        <v>274</v>
      </c>
      <c r="C156" s="825"/>
      <c r="D156" s="837"/>
      <c r="E156" s="35" t="s">
        <v>159</v>
      </c>
      <c r="F156" s="838"/>
      <c r="G156" s="2">
        <v>200</v>
      </c>
      <c r="H156" s="2">
        <f>IF(Equipment!$I$42&gt;=1,ROUNDUP(((1+'Data entry'!$C$33)*((1/G156)*(('Data entry'!$C$16+'Data entry'!$C$16*'Data entry'!$C$23)+$H$50))),0),ROUNDUP((1/G156)*(('Data entry'!$C$16+'Data entry'!$C$16*'Data entry'!$C$23)+$H$50),0))</f>
        <v>4</v>
      </c>
      <c r="I156" s="2">
        <f>IF(Equipment!$I$42&gt;=1,ROUNDUP(((1+'Data entry'!$C$33)*((1/$G156)*(('Data entry'!$F$16+'Data entry'!$F$16*'Data entry'!$F$23)+$I$50))),0),ROUNDUP((1/$G156)*(('Data entry'!$F$16+'Data entry'!$F$16*'Data entry'!$F$23)+$I$50),0))</f>
        <v>2</v>
      </c>
      <c r="J156" s="465"/>
      <c r="K156" s="367"/>
      <c r="L156" s="823"/>
      <c r="M156" s="327" t="s">
        <v>160</v>
      </c>
    </row>
    <row r="157" spans="1:13" ht="15.6">
      <c r="B157" s="298" t="s">
        <v>120</v>
      </c>
      <c r="C157" s="825"/>
      <c r="D157" s="837"/>
      <c r="E157" s="35" t="s">
        <v>275</v>
      </c>
      <c r="F157" s="838"/>
      <c r="G157" s="27">
        <v>1000</v>
      </c>
      <c r="H157" s="2">
        <f>IF(Equipment!$I$42&gt;=1,ROUNDUP(((1+'Data entry'!$C$33)*((1/G157)*(('Data entry'!$C$16+'Data entry'!$C$16*'Data entry'!$C$23)+$H$50))),0),ROUNDUP((1/G157)*(('Data entry'!$C$16+'Data entry'!$C$16*'Data entry'!$C$23)+$H$50),0))</f>
        <v>1</v>
      </c>
      <c r="I157" s="2">
        <f>IF(Equipment!$I$42&gt;=1,ROUNDUP(((1+'Data entry'!$C$33)*((1/$G157)*(('Data entry'!$F$16+'Data entry'!$F$16*'Data entry'!$F$23)+$I$50))),0),ROUNDUP((1/$G157)*(('Data entry'!$F$16+'Data entry'!$F$16*'Data entry'!$F$23)+$I$50),0))</f>
        <v>1</v>
      </c>
      <c r="J157" s="465"/>
      <c r="K157" s="367"/>
      <c r="L157" s="823"/>
      <c r="M157" s="17"/>
    </row>
    <row r="158" spans="1:13">
      <c r="B158" s="474"/>
      <c r="C158" s="825"/>
      <c r="D158" s="837"/>
      <c r="E158" s="348" t="s">
        <v>276</v>
      </c>
      <c r="F158" s="838"/>
      <c r="G158" s="2">
        <v>50</v>
      </c>
      <c r="H158" s="2">
        <f>IF(Equipment!$I$42&gt;=1,ROUNDUP(((1+'Data entry'!$C$33)*((1/G158)*(('Data entry'!$C$16+'Data entry'!$C$16*'Data entry'!$C$23)+$H$50))),0),ROUNDUP((1/G158)*(('Data entry'!$C$16+'Data entry'!$C$16*'Data entry'!$C$23)+$H$50),0))</f>
        <v>13</v>
      </c>
      <c r="I158" s="2">
        <f>IF(Equipment!$I$42&gt;=1,ROUNDUP(((1+'Data entry'!$C$33)*((1/$G158)*(('Data entry'!$F$16+'Data entry'!$F$16*'Data entry'!$F$23)+$I$50))),0),ROUNDUP((1/$G158)*(('Data entry'!$F$16+'Data entry'!$F$16*'Data entry'!$F$23)+$I$50),0))</f>
        <v>7</v>
      </c>
      <c r="J158" s="465"/>
      <c r="K158" s="367"/>
      <c r="L158" s="823"/>
      <c r="M158" s="327">
        <v>11756050</v>
      </c>
    </row>
    <row r="159" spans="1:13" ht="31.5" customHeight="1">
      <c r="B159" s="478"/>
      <c r="C159" s="855"/>
      <c r="D159" s="838"/>
      <c r="E159" s="376"/>
      <c r="F159" s="838"/>
      <c r="G159" s="2"/>
      <c r="H159" s="2"/>
      <c r="I159" s="2"/>
      <c r="J159" s="2"/>
      <c r="K159" s="481"/>
      <c r="L159" s="823"/>
      <c r="M159" s="327"/>
    </row>
    <row r="160" spans="1:13">
      <c r="B160" s="473"/>
      <c r="C160" s="855"/>
      <c r="D160" s="838"/>
      <c r="E160" s="376"/>
      <c r="F160" s="838"/>
      <c r="G160" s="2"/>
      <c r="H160" s="2"/>
      <c r="I160" s="2"/>
      <c r="J160" s="2"/>
      <c r="K160" s="481"/>
      <c r="L160" s="823"/>
      <c r="M160" s="327"/>
    </row>
    <row r="161" spans="2:13">
      <c r="B161" s="473"/>
      <c r="C161" s="855"/>
      <c r="D161" s="838"/>
      <c r="E161" s="35"/>
      <c r="F161" s="838"/>
      <c r="G161" s="2"/>
      <c r="H161" s="2"/>
      <c r="I161" s="2"/>
      <c r="J161" s="2"/>
      <c r="K161" s="481"/>
      <c r="L161" s="823"/>
      <c r="M161" s="327"/>
    </row>
    <row r="162" spans="2:13" ht="15.6">
      <c r="B162" s="474"/>
      <c r="C162" s="855"/>
      <c r="D162" s="838"/>
      <c r="E162" s="462"/>
      <c r="F162" s="838"/>
      <c r="G162" s="2"/>
      <c r="H162" s="2"/>
      <c r="I162" s="2"/>
      <c r="J162" s="2"/>
      <c r="K162" s="481"/>
      <c r="L162" s="823"/>
      <c r="M162" s="16"/>
    </row>
    <row r="163" spans="2:13" ht="31.5" customHeight="1">
      <c r="B163" s="479"/>
      <c r="C163" s="856"/>
      <c r="D163" s="838"/>
      <c r="E163" s="4"/>
      <c r="F163" s="838"/>
      <c r="G163" s="2"/>
      <c r="H163" s="2" t="e">
        <f>IF(Equipment!$I$42&gt;=1,ROUNDUP(((1+'Data entry'!$C$33)*((1/G163)*(('Data entry'!$C$16+'Data entry'!$C$16*'Data entry'!$C$23)+$H$50))),0),ROUNDUP((1/G163)*(('Data entry'!$C$16+'Data entry'!$C$16*'Data entry'!$C$23)+$H$50),0))</f>
        <v>#DIV/0!</v>
      </c>
      <c r="I163" s="2" t="e">
        <f>IF(Equipment!$I$42&gt;=1,ROUNDUP(((1+'Data entry'!$C$33)*((1/$G163)*(('Data entry'!$F$16+'Data entry'!$F$16*'Data entry'!$F$23)+$I$50))),0),ROUNDUP((1/$G163)*(('Data entry'!$F$16+'Data entry'!$F$16*'Data entry'!$F$23)+$I$50),0))</f>
        <v>#DIV/0!</v>
      </c>
      <c r="J163" s="2"/>
      <c r="K163" s="481"/>
      <c r="L163" s="823"/>
      <c r="M163" s="327"/>
    </row>
    <row r="164" spans="2:13">
      <c r="B164" s="480"/>
      <c r="C164" s="856"/>
      <c r="D164" s="838"/>
      <c r="E164" s="4"/>
      <c r="F164" s="838"/>
      <c r="G164" s="2"/>
      <c r="H164" s="2" t="e">
        <f>IF(Equipment!$I$42&gt;=1,ROUNDUP(((1+'Data entry'!$C$33)*((1/G164)*(('Data entry'!$C$16+'Data entry'!$C$16*'Data entry'!$C$23)+$H$50))),0),ROUNDUP((1/G164)*(('Data entry'!$C$16+'Data entry'!$C$16*'Data entry'!$C$23)+$H$50),0))</f>
        <v>#DIV/0!</v>
      </c>
      <c r="I164" s="2" t="e">
        <f>IF(Equipment!$I$42&gt;=1,ROUNDUP(((1+'Data entry'!$C$33)*((1/$G164)*(('Data entry'!$F$16+'Data entry'!$F$16*'Data entry'!$F$23)+$I$50))),0),ROUNDUP((1/$G164)*(('Data entry'!$F$16+'Data entry'!$F$16*'Data entry'!$F$23)+$I$50),0))</f>
        <v>#DIV/0!</v>
      </c>
      <c r="J164" s="2"/>
      <c r="K164" s="481"/>
      <c r="L164" s="823"/>
      <c r="M164" s="327"/>
    </row>
    <row r="165" spans="2:13">
      <c r="B165" s="480"/>
      <c r="C165" s="856"/>
      <c r="D165" s="838"/>
      <c r="E165" s="4"/>
      <c r="F165" s="838"/>
      <c r="G165" s="2"/>
      <c r="H165" s="2" t="e">
        <f>IF(Equipment!$I$42&gt;=1,ROUNDUP(((1+'Data entry'!$C$33)*((1/G165)*(('Data entry'!$C$16+'Data entry'!$C$16*'Data entry'!$C$23)+$H$50))),0),ROUNDUP((1/G165)*(('Data entry'!$C$16+'Data entry'!$C$16*'Data entry'!$C$23)+$H$50),0))</f>
        <v>#DIV/0!</v>
      </c>
      <c r="I165" s="2" t="e">
        <f>IF(Equipment!$I$42&gt;=1,ROUNDUP(((1+'Data entry'!$C$33)*((1/$G165)*(('Data entry'!$F$16+'Data entry'!$F$16*'Data entry'!$F$23)+$I$50))),0),ROUNDUP((1/$G165)*(('Data entry'!$F$16+'Data entry'!$F$16*'Data entry'!$F$23)+$I$50),0))</f>
        <v>#DIV/0!</v>
      </c>
      <c r="J165" s="2"/>
      <c r="K165" s="481"/>
      <c r="L165" s="823"/>
      <c r="M165" s="327"/>
    </row>
    <row r="166" spans="2:13" ht="15.6">
      <c r="B166" s="474"/>
      <c r="C166" s="856"/>
      <c r="D166" s="838"/>
      <c r="E166" s="348"/>
      <c r="F166" s="838"/>
      <c r="G166" s="2"/>
      <c r="H166" s="2" t="e">
        <f>IF(Equipment!$I$42&gt;=1,ROUNDUP(((1+'Data entry'!$C$33)*((1/G166)*(('Data entry'!$C$16+'Data entry'!$C$16*'Data entry'!$C$23)+$H$50))),0),ROUNDUP((1/G166)*(('Data entry'!$C$16+'Data entry'!$C$16*'Data entry'!$C$23)+$H$50),0))</f>
        <v>#DIV/0!</v>
      </c>
      <c r="I166" s="2" t="e">
        <f>IF(Equipment!$I$42&gt;=1,ROUNDUP(((1+'Data entry'!$C$33)*((1/$G166)*(('Data entry'!$F$16+'Data entry'!$F$16*'Data entry'!$F$23)+$I$50))),0),ROUNDUP((1/$G166)*(('Data entry'!$F$16+'Data entry'!$F$16*'Data entry'!$F$23)+$I$50),0))</f>
        <v>#DIV/0!</v>
      </c>
      <c r="J166" s="2"/>
      <c r="K166" s="481"/>
      <c r="L166" s="823"/>
      <c r="M166" s="16"/>
    </row>
    <row r="167" spans="2:13" ht="31.5" customHeight="1">
      <c r="B167" s="296"/>
      <c r="C167" s="832"/>
      <c r="D167" s="831"/>
      <c r="E167" s="376"/>
      <c r="F167" s="835"/>
      <c r="G167" s="2"/>
      <c r="H167" s="2" t="e">
        <f>IF(Equipment!$I$42&gt;=1,ROUNDUP(((1+'Data entry'!$C$33)*((1/G167)*(('Data entry'!$C$16+'Data entry'!$C$16*'Data entry'!$C$23)+$H$50))),0),ROUNDUP((1/G167)*(('Data entry'!$C$16+'Data entry'!$C$16*'Data entry'!$C$23)+$H$50),0))</f>
        <v>#DIV/0!</v>
      </c>
      <c r="I167" s="2" t="e">
        <f>IF(Equipment!$I$42&gt;=1,ROUNDUP(((1+'Data entry'!$C$33)*((1/$G167)*(('Data entry'!$F$16+'Data entry'!$F$16*'Data entry'!$F$23)+$I$50))),0),ROUNDUP((1/$G167)*(('Data entry'!$F$16+'Data entry'!$F$16*'Data entry'!$F$23)+$I$50),0))</f>
        <v>#DIV/0!</v>
      </c>
      <c r="J167" s="2"/>
      <c r="K167" s="557"/>
      <c r="L167" s="854"/>
      <c r="M167" s="327"/>
    </row>
    <row r="168" spans="2:13" ht="15" customHeight="1">
      <c r="B168" s="297"/>
      <c r="C168" s="832"/>
      <c r="D168" s="831"/>
      <c r="E168" s="4"/>
      <c r="F168" s="835"/>
      <c r="G168" s="326"/>
      <c r="H168" s="326"/>
      <c r="I168" s="326"/>
      <c r="J168" s="326"/>
      <c r="K168" s="558"/>
      <c r="L168" s="854"/>
      <c r="M168" s="327"/>
    </row>
    <row r="169" spans="2:13" ht="15" customHeight="1">
      <c r="B169" s="294"/>
      <c r="C169" s="832"/>
      <c r="D169" s="831"/>
      <c r="E169" s="4"/>
      <c r="F169" s="835"/>
      <c r="G169" s="326"/>
      <c r="H169" s="326"/>
      <c r="I169" s="326"/>
      <c r="J169" s="326"/>
      <c r="K169" s="558"/>
      <c r="L169" s="854"/>
      <c r="M169" s="327"/>
    </row>
    <row r="170" spans="2:13" ht="15.6">
      <c r="B170" s="295"/>
      <c r="C170" s="832"/>
      <c r="D170" s="831"/>
      <c r="E170" s="348"/>
      <c r="F170" s="835"/>
      <c r="G170" s="326"/>
      <c r="H170" s="326"/>
      <c r="I170" s="326"/>
      <c r="J170" s="326"/>
      <c r="K170" s="558"/>
      <c r="L170" s="854"/>
      <c r="M170" s="16"/>
    </row>
    <row r="171" spans="2:13" ht="45" customHeight="1">
      <c r="B171" s="296" t="s">
        <v>277</v>
      </c>
      <c r="C171" s="828" t="s">
        <v>278</v>
      </c>
      <c r="D171" s="829" t="s">
        <v>279</v>
      </c>
      <c r="E171" s="35" t="s">
        <v>279</v>
      </c>
      <c r="F171" s="822" t="s">
        <v>280</v>
      </c>
      <c r="G171" s="2">
        <v>16</v>
      </c>
      <c r="H171" s="2">
        <f>IF(Equipment!$I$42&gt;=1,ROUNDUP(((1+'Data entry'!$C$33)*((1/G171)*(('Data entry'!$C$16+'Data entry'!$C$16*'Data entry'!$C$23)+$H$50))),0),ROUNDUP((1/G171)*(('Data entry'!$C$16+'Data entry'!$C$16*'Data entry'!$C$23)+$H$50),0))</f>
        <v>40</v>
      </c>
      <c r="I171" s="2">
        <f>IF(Equipment!$I$42&gt;=1,ROUNDUP(((1+'Data entry'!$C$33)*((1/$G171)*(('Data entry'!$F$16+'Data entry'!$F$16*'Data entry'!$F$23)+$I$50))),0),ROUNDUP((1/$G171)*(('Data entry'!$F$16+'Data entry'!$F$16*'Data entry'!$F$23)+$I$50),0))</f>
        <v>22</v>
      </c>
      <c r="J171" s="2">
        <v>16</v>
      </c>
      <c r="K171" s="482"/>
      <c r="L171" s="823" t="s">
        <v>4</v>
      </c>
      <c r="M171" s="327" t="s">
        <v>281</v>
      </c>
    </row>
    <row r="172" spans="2:13">
      <c r="B172" s="295"/>
      <c r="C172" s="828"/>
      <c r="D172" s="829"/>
      <c r="E172" s="499"/>
      <c r="F172" s="822"/>
      <c r="G172" s="465"/>
      <c r="H172" s="465"/>
      <c r="I172" s="465"/>
      <c r="J172" s="465"/>
      <c r="K172" s="465"/>
      <c r="L172" s="823"/>
      <c r="M172" s="327"/>
    </row>
    <row r="173" spans="2:13" ht="30" customHeight="1">
      <c r="B173" s="296"/>
      <c r="C173" s="832"/>
      <c r="D173" s="831"/>
      <c r="E173" s="376"/>
      <c r="F173" s="835"/>
      <c r="G173" s="2"/>
      <c r="H173" s="2" t="e">
        <f>IF(Equipment!$I$42&gt;=1,ROUNDUP(((1+'Data entry'!$C$33)*((1/G173)*(('Data entry'!$C$16+'Data entry'!$C$16*'Data entry'!$C$23)+$H$50))),0),ROUNDUP((1/G173)*(('Data entry'!$C$16+'Data entry'!$C$16*'Data entry'!$C$23)+$H$50),0))</f>
        <v>#DIV/0!</v>
      </c>
      <c r="I173" s="2" t="e">
        <f>IF(Equipment!$I$42&gt;=1,ROUNDUP(((1+'Data entry'!$C$33)*((1/$G173)*(('Data entry'!$F$16+'Data entry'!$F$16*'Data entry'!$F$23)+$I$50))),0),ROUNDUP((1/$G173)*(('Data entry'!$F$16+'Data entry'!$F$16*'Data entry'!$F$23)+$I$50),0))</f>
        <v>#DIV/0!</v>
      </c>
      <c r="J173" s="2"/>
      <c r="K173" s="482"/>
      <c r="L173" s="854"/>
      <c r="M173" s="327"/>
    </row>
    <row r="174" spans="2:13">
      <c r="B174" s="297"/>
      <c r="C174" s="832"/>
      <c r="D174" s="831"/>
      <c r="E174" s="559"/>
      <c r="F174" s="835"/>
      <c r="G174" s="326"/>
      <c r="H174" s="326"/>
      <c r="I174" s="326"/>
      <c r="J174" s="326"/>
      <c r="K174" s="556"/>
      <c r="L174" s="854"/>
      <c r="M174" s="321"/>
    </row>
    <row r="175" spans="2:13">
      <c r="B175" s="294"/>
      <c r="C175" s="832"/>
      <c r="D175" s="831"/>
      <c r="E175" s="559"/>
      <c r="F175" s="835"/>
      <c r="G175" s="326"/>
      <c r="H175" s="326"/>
      <c r="I175" s="326"/>
      <c r="J175" s="465"/>
      <c r="K175" s="556"/>
      <c r="L175" s="854"/>
      <c r="M175" s="321"/>
    </row>
    <row r="176" spans="2:13" ht="15.6">
      <c r="B176" s="295"/>
      <c r="C176" s="832"/>
      <c r="D176" s="831"/>
      <c r="E176" s="462"/>
      <c r="F176" s="835"/>
      <c r="G176" s="488"/>
      <c r="H176" s="326"/>
      <c r="I176" s="326"/>
      <c r="J176" s="465"/>
      <c r="K176" s="494"/>
      <c r="L176" s="854"/>
      <c r="M176" s="16"/>
    </row>
    <row r="177" spans="2:13" ht="30" customHeight="1">
      <c r="B177" s="294"/>
      <c r="C177" s="832"/>
      <c r="D177" s="831"/>
      <c r="E177" s="559"/>
      <c r="F177" s="835"/>
      <c r="G177" s="2"/>
      <c r="H177" s="2" t="e">
        <f>IF(Equipment!$I$42&gt;=1,ROUNDUP(((1+'Data entry'!$C$33)*((1/G177)*(('Data entry'!$C$16+'Data entry'!$C$16*'Data entry'!$C$23)+$H$50))),0),ROUNDUP((1/G177)*(('Data entry'!$C$16+'Data entry'!$C$16*'Data entry'!$C$23)+$H$50),0))</f>
        <v>#DIV/0!</v>
      </c>
      <c r="I177" s="2" t="e">
        <f>IF(Equipment!$I$42&gt;=1,ROUNDUP(((1+'Data entry'!$C$33)*((1/$G177)*(('Data entry'!$F$16+'Data entry'!$F$16*'Data entry'!$F$23)+$I$50))),0),ROUNDUP((1/$G177)*(('Data entry'!$F$16+'Data entry'!$F$16*'Data entry'!$F$23)+$I$50),0))</f>
        <v>#DIV/0!</v>
      </c>
      <c r="J177" s="2"/>
      <c r="K177" s="482"/>
      <c r="L177" s="854"/>
      <c r="M177" s="327"/>
    </row>
    <row r="178" spans="2:13">
      <c r="B178" s="323"/>
      <c r="C178" s="832"/>
      <c r="D178" s="831"/>
      <c r="E178" s="376"/>
      <c r="F178" s="835"/>
      <c r="G178" s="326"/>
      <c r="H178" s="326"/>
      <c r="I178" s="326"/>
      <c r="J178" s="326"/>
      <c r="K178" s="556"/>
      <c r="L178" s="854"/>
      <c r="M178" s="14"/>
    </row>
    <row r="179" spans="2:13">
      <c r="B179" s="324"/>
      <c r="C179" s="832"/>
      <c r="D179" s="831"/>
      <c r="E179" s="559"/>
      <c r="F179" s="835"/>
      <c r="G179" s="326"/>
      <c r="H179" s="326"/>
      <c r="I179" s="326"/>
      <c r="J179" s="326"/>
      <c r="K179" s="556"/>
      <c r="L179" s="854"/>
      <c r="M179" s="14"/>
    </row>
    <row r="180" spans="2:13" ht="15.6">
      <c r="B180" s="294"/>
      <c r="C180" s="832"/>
      <c r="D180" s="831"/>
      <c r="E180" s="462"/>
      <c r="F180" s="835"/>
      <c r="G180" s="488"/>
      <c r="H180" s="326"/>
      <c r="I180" s="326"/>
      <c r="J180" s="465"/>
      <c r="K180" s="494"/>
      <c r="L180" s="854"/>
      <c r="M180" s="16"/>
    </row>
    <row r="181" spans="2:13" ht="30" customHeight="1">
      <c r="B181" s="312" t="s">
        <v>282</v>
      </c>
      <c r="C181" s="828" t="s">
        <v>283</v>
      </c>
      <c r="D181" s="829" t="s">
        <v>284</v>
      </c>
      <c r="E181" s="4" t="s">
        <v>284</v>
      </c>
      <c r="F181" s="822" t="s">
        <v>285</v>
      </c>
      <c r="G181" s="2">
        <v>96</v>
      </c>
      <c r="H181" s="2">
        <f>IF(Equipment!$I$42&gt;=1,ROUNDUP(((1+'Data entry'!$C$33)*((1/G181)*(('Data entry'!$C$16+'Data entry'!$C$16*'Data entry'!$C$23)+$H$50))),0),ROUNDUP((1/G181)*(('Data entry'!$C$16+'Data entry'!$C$16*'Data entry'!$C$23)+$H$50),0))</f>
        <v>7</v>
      </c>
      <c r="I181" s="2">
        <f>IF(Equipment!$I$42&gt;=1,ROUNDUP(((1+'Data entry'!$C$33)*((1/$G181)*(('Data entry'!$F$16+'Data entry'!$F$16*'Data entry'!$F$23)+$I$50))),0),ROUNDUP((1/$G181)*(('Data entry'!$F$16+'Data entry'!$F$16*'Data entry'!$F$23)+$I$50),0))</f>
        <v>4</v>
      </c>
      <c r="J181" s="2">
        <v>96</v>
      </c>
      <c r="K181" s="500"/>
      <c r="L181" s="823" t="s">
        <v>4</v>
      </c>
      <c r="M181" s="14" t="s">
        <v>286</v>
      </c>
    </row>
    <row r="182" spans="2:13" ht="29.1">
      <c r="B182" s="323" t="s">
        <v>287</v>
      </c>
      <c r="C182" s="828"/>
      <c r="D182" s="829"/>
      <c r="E182" s="4" t="s">
        <v>288</v>
      </c>
      <c r="F182" s="822"/>
      <c r="G182" s="2">
        <v>500</v>
      </c>
      <c r="H182" s="2">
        <f>IF(Equipment!$I$42&gt;=1,ROUNDUP(((1+'Data entry'!$C$33)*((1/G182)*(('Data entry'!$C$16+'Data entry'!$C$16*'Data entry'!$C$23)+$H$50))),0),ROUNDUP((1/G182)*(('Data entry'!$C$16+'Data entry'!$C$16*'Data entry'!$C$23)+$H$50),0))</f>
        <v>2</v>
      </c>
      <c r="I182" s="2">
        <f>IF(Equipment!$I$42&gt;=1,ROUNDUP(((1+'Data entry'!$C$33)*((1/$G182)*(('Data entry'!$F$16+'Data entry'!$F$16*'Data entry'!$F$23)+$I$50))),0),ROUNDUP((1/$G182)*(('Data entry'!$F$16+'Data entry'!$F$16*'Data entry'!$F$23)+$I$50),0))</f>
        <v>1</v>
      </c>
      <c r="J182" s="465"/>
      <c r="K182" s="367"/>
      <c r="L182" s="823"/>
      <c r="M182" s="16">
        <v>10016495</v>
      </c>
    </row>
    <row r="183" spans="2:13">
      <c r="B183" s="324"/>
      <c r="C183" s="828"/>
      <c r="D183" s="829"/>
      <c r="E183" s="322"/>
      <c r="F183" s="822"/>
      <c r="G183" s="465"/>
      <c r="H183" s="465"/>
      <c r="I183" s="465"/>
      <c r="J183" s="465"/>
      <c r="K183" s="465"/>
      <c r="L183" s="823"/>
      <c r="M183" s="14"/>
    </row>
    <row r="184" spans="2:13" ht="15.6">
      <c r="B184" s="298"/>
      <c r="C184" s="828"/>
      <c r="D184" s="829"/>
      <c r="E184" s="348"/>
      <c r="F184" s="822"/>
      <c r="G184" s="465"/>
      <c r="H184" s="465"/>
      <c r="I184" s="465"/>
      <c r="J184" s="465"/>
      <c r="K184" s="465"/>
      <c r="L184" s="823"/>
      <c r="M184" s="16"/>
    </row>
    <row r="185" spans="2:13">
      <c r="B185" s="296" t="s">
        <v>289</v>
      </c>
      <c r="C185" s="836" t="s">
        <v>101</v>
      </c>
      <c r="D185" s="830" t="s">
        <v>290</v>
      </c>
      <c r="E185" s="321" t="s">
        <v>290</v>
      </c>
      <c r="F185" s="822" t="s">
        <v>291</v>
      </c>
      <c r="G185" s="2">
        <v>96</v>
      </c>
      <c r="H185" s="2">
        <f>IF(Equipment!$I$42&gt;=1,ROUNDUP(((1+'Data entry'!$C$33)*((1/G185)*(('Data entry'!$C$16+'Data entry'!$C$16*'Data entry'!$C$23)+$H$50))),0),ROUNDUP((1/G185)*(('Data entry'!$C$16+'Data entry'!$C$16*'Data entry'!$C$23)+$H$50),0))</f>
        <v>7</v>
      </c>
      <c r="I185" s="2">
        <f>IF(Equipment!$I$42&gt;=1,ROUNDUP(((1+'Data entry'!$C$33)*((1/$G185)*(('Data entry'!$F$16+'Data entry'!$F$16*'Data entry'!$F$23)+$I$50))),0),ROUNDUP((1/$G185)*(('Data entry'!$F$16+'Data entry'!$F$16*'Data entry'!$F$23)+$I$50),0))</f>
        <v>4</v>
      </c>
      <c r="J185" s="2">
        <v>96</v>
      </c>
      <c r="K185" s="482"/>
      <c r="L185" s="823" t="s">
        <v>4</v>
      </c>
      <c r="M185" s="460" t="s">
        <v>292</v>
      </c>
    </row>
    <row r="186" spans="2:13">
      <c r="B186" s="297"/>
      <c r="C186" s="836"/>
      <c r="D186" s="830"/>
      <c r="E186" s="322"/>
      <c r="F186" s="822"/>
      <c r="G186" s="326"/>
      <c r="H186" s="326"/>
      <c r="I186" s="326"/>
      <c r="J186" s="465"/>
      <c r="K186" s="556"/>
      <c r="L186" s="823"/>
      <c r="M186" s="460"/>
    </row>
    <row r="187" spans="2:13">
      <c r="B187" s="297"/>
      <c r="C187" s="836"/>
      <c r="D187" s="830"/>
      <c r="E187" s="322"/>
      <c r="F187" s="822"/>
      <c r="G187" s="326"/>
      <c r="H187" s="326"/>
      <c r="I187" s="326"/>
      <c r="J187" s="326"/>
      <c r="K187" s="556"/>
      <c r="L187" s="823"/>
      <c r="M187" s="460"/>
    </row>
    <row r="188" spans="2:13">
      <c r="B188" s="298"/>
      <c r="C188" s="836"/>
      <c r="D188" s="830"/>
      <c r="E188" s="322"/>
      <c r="F188" s="822"/>
      <c r="G188" s="326"/>
      <c r="H188" s="326"/>
      <c r="I188" s="326"/>
      <c r="J188" s="326"/>
      <c r="K188" s="556"/>
      <c r="L188" s="823"/>
      <c r="M188" s="460"/>
    </row>
    <row r="189" spans="2:13" ht="30" customHeight="1">
      <c r="B189" s="296" t="s">
        <v>293</v>
      </c>
      <c r="C189" s="836" t="s">
        <v>101</v>
      </c>
      <c r="D189" s="830" t="s">
        <v>294</v>
      </c>
      <c r="E189" s="321" t="s">
        <v>294</v>
      </c>
      <c r="F189" s="822" t="s">
        <v>280</v>
      </c>
      <c r="G189" s="2">
        <v>96</v>
      </c>
      <c r="H189" s="2">
        <f>IF(Equipment!$I$42&gt;=1,ROUNDUP(((1+'Data entry'!$C$33)*((1/G189)*(('Data entry'!$C$16+'Data entry'!$C$16*'Data entry'!$C$23)+$H$50))),0),ROUNDUP((1/G189)*(('Data entry'!$C$16+'Data entry'!$C$16*'Data entry'!$C$23)+$H$50),0))</f>
        <v>7</v>
      </c>
      <c r="I189" s="2">
        <f>IF(Equipment!$I$42&gt;=1,ROUNDUP(((1+'Data entry'!$C$33)*((1/$G189)*(('Data entry'!$F$16+'Data entry'!$F$16*'Data entry'!$F$23)+$I$50))),0),ROUNDUP((1/$G189)*(('Data entry'!$F$16+'Data entry'!$F$16*'Data entry'!$F$23)+$I$50),0))</f>
        <v>4</v>
      </c>
      <c r="J189" s="2">
        <v>96</v>
      </c>
      <c r="K189" s="482"/>
      <c r="L189" s="823" t="s">
        <v>4</v>
      </c>
      <c r="M189" s="321" t="s">
        <v>295</v>
      </c>
    </row>
    <row r="190" spans="2:13">
      <c r="B190" s="297" t="s">
        <v>296</v>
      </c>
      <c r="C190" s="836"/>
      <c r="D190" s="830"/>
      <c r="E190" s="322"/>
      <c r="F190" s="822"/>
      <c r="G190" s="326"/>
      <c r="H190" s="326"/>
      <c r="I190" s="326"/>
      <c r="J190" s="326"/>
      <c r="K190" s="556"/>
      <c r="L190" s="823"/>
      <c r="M190" s="321"/>
    </row>
    <row r="191" spans="2:13">
      <c r="B191" s="294"/>
      <c r="C191" s="836"/>
      <c r="D191" s="830"/>
      <c r="E191" s="322"/>
      <c r="F191" s="822"/>
      <c r="G191" s="326"/>
      <c r="H191" s="326"/>
      <c r="I191" s="326"/>
      <c r="J191" s="326"/>
      <c r="K191" s="556"/>
      <c r="L191" s="823"/>
      <c r="M191" s="321"/>
    </row>
    <row r="192" spans="2:13">
      <c r="B192" s="294"/>
      <c r="C192" s="836"/>
      <c r="D192" s="830"/>
      <c r="E192" s="322"/>
      <c r="F192" s="822"/>
      <c r="G192" s="326"/>
      <c r="H192" s="326"/>
      <c r="I192" s="326"/>
      <c r="J192" s="326"/>
      <c r="K192" s="556"/>
      <c r="L192" s="823"/>
      <c r="M192" s="321"/>
    </row>
    <row r="193" spans="2:13">
      <c r="B193" s="294"/>
      <c r="C193" s="836"/>
      <c r="D193" s="830"/>
      <c r="E193" s="322"/>
      <c r="F193" s="822"/>
      <c r="G193" s="326"/>
      <c r="H193" s="326"/>
      <c r="I193" s="326"/>
      <c r="J193" s="465"/>
      <c r="K193" s="556"/>
      <c r="L193" s="823"/>
      <c r="M193" s="460"/>
    </row>
    <row r="194" spans="2:13" ht="45" customHeight="1">
      <c r="B194" s="510" t="s">
        <v>297</v>
      </c>
      <c r="C194" s="834" t="s">
        <v>177</v>
      </c>
      <c r="D194" s="833" t="s">
        <v>298</v>
      </c>
      <c r="E194" s="321" t="s">
        <v>299</v>
      </c>
      <c r="F194" s="822" t="s">
        <v>300</v>
      </c>
      <c r="G194" s="2">
        <v>96</v>
      </c>
      <c r="H194" s="2">
        <f>IF(Equipment!$I$42&gt;=1,ROUNDUP(((1+'Data entry'!$C$33)*((1/G194)*(('Data entry'!$C$16+'Data entry'!$C$16*'Data entry'!$C$23)+$H$50))),0),ROUNDUP((1/G194)*(('Data entry'!$C$16+'Data entry'!$C$16*'Data entry'!$C$23)+$H$50),0))</f>
        <v>7</v>
      </c>
      <c r="I194" s="2">
        <f>IF(Equipment!$I$42&gt;=1,ROUNDUP(((1+'Data entry'!$C$33)*((1/$G194)*(('Data entry'!$F$16+'Data entry'!$F$16*'Data entry'!$F$23)+$I$50))),0),ROUNDUP((1/$G194)*(('Data entry'!$F$16+'Data entry'!$F$16*'Data entry'!$F$23)+$I$50),0))</f>
        <v>4</v>
      </c>
      <c r="J194" s="2">
        <v>96</v>
      </c>
      <c r="K194" s="302"/>
      <c r="L194" s="823" t="s">
        <v>4</v>
      </c>
      <c r="M194" s="460" t="s">
        <v>301</v>
      </c>
    </row>
    <row r="195" spans="2:13">
      <c r="B195" s="295" t="s">
        <v>302</v>
      </c>
      <c r="C195" s="834"/>
      <c r="D195" s="833"/>
      <c r="E195" s="322"/>
      <c r="F195" s="822"/>
      <c r="G195" s="326"/>
      <c r="H195" s="326"/>
      <c r="I195" s="326"/>
      <c r="J195" s="465"/>
      <c r="K195" s="465"/>
      <c r="L195" s="823"/>
      <c r="M195" s="546"/>
    </row>
    <row r="196" spans="2:13" ht="36.75" customHeight="1">
      <c r="B196" s="295"/>
      <c r="C196" s="851" t="s">
        <v>177</v>
      </c>
      <c r="D196" s="848" t="s">
        <v>303</v>
      </c>
      <c r="E196" s="321" t="s">
        <v>303</v>
      </c>
      <c r="F196" s="848" t="s">
        <v>304</v>
      </c>
      <c r="G196" s="2">
        <v>24</v>
      </c>
      <c r="H196" s="2">
        <f>IF(Equipment!$I$42&gt;=1,ROUNDUP(((1+'Data entry'!$C$33)*((1/G196)*(('Data entry'!$C$16+'Data entry'!$C$16*'Data entry'!$C$23)+$H$50))),0),ROUNDUP((1/G196)*(('Data entry'!$C$16+'Data entry'!$C$16*'Data entry'!$C$23)+$H$50),0))</f>
        <v>27</v>
      </c>
      <c r="I196" s="2">
        <f>IF(Equipment!$I$42&gt;=1,ROUNDUP(((1+'Data entry'!$C$33)*((1/$G196)*(('Data entry'!$F$16+'Data entry'!$F$16*'Data entry'!$F$23)+$I$50))),0),ROUNDUP((1/$G196)*(('Data entry'!$F$16+'Data entry'!$F$16*'Data entry'!$F$23)+$I$50),0))</f>
        <v>15</v>
      </c>
      <c r="J196" s="2">
        <v>384</v>
      </c>
      <c r="K196" s="19"/>
      <c r="L196" s="819" t="s">
        <v>4</v>
      </c>
      <c r="M196" s="460" t="s">
        <v>305</v>
      </c>
    </row>
    <row r="197" spans="2:13" ht="36.75" customHeight="1">
      <c r="B197" s="295"/>
      <c r="C197" s="852"/>
      <c r="D197" s="849"/>
      <c r="E197" s="4" t="s">
        <v>306</v>
      </c>
      <c r="F197" s="849"/>
      <c r="G197" s="2">
        <v>96</v>
      </c>
      <c r="H197" s="2">
        <f>IF(Equipment!$I$42&gt;=1,ROUNDUP(((1+'Data entry'!$C$33)*((1/G197)*(('Data entry'!$C$16+'Data entry'!$C$16*'Data entry'!$C$23)+$H$50))),0),ROUNDUP((1/G197)*(('Data entry'!$C$16+'Data entry'!$C$16*'Data entry'!$C$23)+$H$50),0))</f>
        <v>7</v>
      </c>
      <c r="I197" s="2">
        <f>IF(Equipment!$I$42&gt;=1,ROUNDUP(((1+'Data entry'!$C$33)*((1/$G197)*(('Data entry'!$F$16+'Data entry'!$F$16*'Data entry'!$F$23)+$I$50))),0),ROUNDUP((1/$G197)*(('Data entry'!$F$16+'Data entry'!$F$16*'Data entry'!$F$23)+$I$50),0))</f>
        <v>4</v>
      </c>
      <c r="J197" s="2">
        <v>384</v>
      </c>
      <c r="K197" s="19"/>
      <c r="L197" s="820"/>
      <c r="M197" s="460" t="s">
        <v>307</v>
      </c>
    </row>
    <row r="198" spans="2:13" ht="36.75" customHeight="1">
      <c r="B198" s="295"/>
      <c r="C198" s="852"/>
      <c r="D198" s="849"/>
      <c r="E198" s="4" t="s">
        <v>308</v>
      </c>
      <c r="F198" s="849"/>
      <c r="G198" s="2">
        <v>96</v>
      </c>
      <c r="H198" s="2">
        <f>IF(Equipment!$I$42&gt;=1,ROUNDUP(((1+'Data entry'!$C$33)*((1/G198)*(('Data entry'!$C$16+'Data entry'!$C$16*'Data entry'!$C$23)+$H$50))),0),ROUNDUP((1/G198)*(('Data entry'!$C$16+'Data entry'!$C$16*'Data entry'!$C$23)+$H$50),0))</f>
        <v>7</v>
      </c>
      <c r="I198" s="2">
        <f>IF(Equipment!$I$42&gt;=1,ROUNDUP(((1+'Data entry'!$C$33)*((1/$G198)*(('Data entry'!$F$16+'Data entry'!$F$16*'Data entry'!$F$23)+$I$50))),0),ROUNDUP((1/$G198)*(('Data entry'!$F$16+'Data entry'!$F$16*'Data entry'!$F$23)+$I$50),0))</f>
        <v>4</v>
      </c>
      <c r="J198" s="2">
        <v>384</v>
      </c>
      <c r="K198" s="19"/>
      <c r="L198" s="820"/>
      <c r="M198" s="460" t="s">
        <v>309</v>
      </c>
    </row>
    <row r="199" spans="2:13" ht="36.75" customHeight="1">
      <c r="B199" s="295"/>
      <c r="C199" s="852"/>
      <c r="D199" s="849"/>
      <c r="E199" s="4" t="s">
        <v>310</v>
      </c>
      <c r="F199" s="849"/>
      <c r="G199" s="2">
        <v>24</v>
      </c>
      <c r="H199" s="2">
        <f>IF(Equipment!$I$42&gt;=1,ROUNDUP(((1+'Data entry'!$C$33)*((1/G199)*(('Data entry'!$C$16+'Data entry'!$C$16*'Data entry'!$C$23)+$H$50))),0),ROUNDUP((1/G199)*(('Data entry'!$C$16+'Data entry'!$C$16*'Data entry'!$C$23)+$H$50),0))</f>
        <v>27</v>
      </c>
      <c r="I199" s="2">
        <f>IF(Equipment!$I$42&gt;=1,ROUNDUP(((1+'Data entry'!$C$33)*((1/$G199)*(('Data entry'!$F$16+'Data entry'!$F$16*'Data entry'!$F$23)+$I$50))),0),ROUNDUP((1/$G199)*(('Data entry'!$F$16+'Data entry'!$F$16*'Data entry'!$F$23)+$I$50),0))</f>
        <v>15</v>
      </c>
      <c r="J199" s="465"/>
      <c r="K199" s="19"/>
      <c r="L199" s="820"/>
      <c r="M199" s="460" t="s">
        <v>311</v>
      </c>
    </row>
    <row r="200" spans="2:13" ht="36.75" customHeight="1">
      <c r="B200" s="295"/>
      <c r="C200" s="853"/>
      <c r="D200" s="850"/>
      <c r="E200" s="6" t="s">
        <v>312</v>
      </c>
      <c r="F200" s="850"/>
      <c r="G200" s="2">
        <v>24</v>
      </c>
      <c r="H200" s="2">
        <f>IF(Equipment!$I$42&gt;=1,ROUNDUP(((1+'Data entry'!$C$33)*((1/G200)*(('Data entry'!$C$16+'Data entry'!$C$16*'Data entry'!$C$23)+$H$50))),0),ROUNDUP((1/G200)*(('Data entry'!$C$16+'Data entry'!$C$16*'Data entry'!$C$23)+$H$50),0))</f>
        <v>27</v>
      </c>
      <c r="I200" s="2">
        <f>IF(Equipment!$I$42&gt;=1,ROUNDUP(((1+'Data entry'!$C$33)*((1/$G200)*(('Data entry'!$F$16+'Data entry'!$F$16*'Data entry'!$F$23)+$I$50))),0),ROUNDUP((1/$G200)*(('Data entry'!$F$16+'Data entry'!$F$16*'Data entry'!$F$23)+$I$50),0))</f>
        <v>15</v>
      </c>
      <c r="J200" s="465"/>
      <c r="K200" s="19"/>
      <c r="L200" s="821"/>
      <c r="M200" s="460" t="s">
        <v>313</v>
      </c>
    </row>
    <row r="201" spans="2:13">
      <c r="B201" s="295"/>
      <c r="C201" s="2"/>
      <c r="D201" s="2"/>
      <c r="E201" s="4"/>
      <c r="F201" s="2"/>
      <c r="G201" s="2"/>
      <c r="H201" s="2"/>
      <c r="I201" s="2"/>
      <c r="J201" s="2"/>
      <c r="K201" s="2"/>
      <c r="L201" s="2"/>
      <c r="M201" s="2"/>
    </row>
    <row r="202" spans="2:13">
      <c r="D202"/>
    </row>
    <row r="203" spans="2:13">
      <c r="D203"/>
    </row>
    <row r="204" spans="2:13">
      <c r="D204"/>
    </row>
    <row r="205" spans="2:13">
      <c r="D205"/>
    </row>
  </sheetData>
  <sheetProtection algorithmName="SHA-512" hashValue="bDXjyGboJOXiGiojJ8wbjzthPZ+87n9LU7CVHWL+Uc9DYvtuzCs6pggZM1z8LdR+lwkW7tRYzSJ3lUI//K0yow==" saltValue="DoDVA/22mJEOL5VP4LvxKw==" spinCount="100000" sheet="1" objects="1" scenarios="1" formatColumns="0" formatRows="0"/>
  <mergeCells count="132">
    <mergeCell ref="D196:D200"/>
    <mergeCell ref="F196:F200"/>
    <mergeCell ref="L196:L200"/>
    <mergeCell ref="C196:C200"/>
    <mergeCell ref="L149:L153"/>
    <mergeCell ref="L154:L158"/>
    <mergeCell ref="L159:L162"/>
    <mergeCell ref="L163:L166"/>
    <mergeCell ref="L167:L170"/>
    <mergeCell ref="L173:L176"/>
    <mergeCell ref="L177:L180"/>
    <mergeCell ref="L181:L184"/>
    <mergeCell ref="L194:L195"/>
    <mergeCell ref="L189:L193"/>
    <mergeCell ref="L185:L188"/>
    <mergeCell ref="L171:L172"/>
    <mergeCell ref="C154:C158"/>
    <mergeCell ref="C159:C162"/>
    <mergeCell ref="C163:C166"/>
    <mergeCell ref="C167:C170"/>
    <mergeCell ref="F163:F166"/>
    <mergeCell ref="D163:D166"/>
    <mergeCell ref="D167:D170"/>
    <mergeCell ref="F167:F170"/>
    <mergeCell ref="F89:F97"/>
    <mergeCell ref="D89:D97"/>
    <mergeCell ref="C89:C97"/>
    <mergeCell ref="C144:C146"/>
    <mergeCell ref="F144:F146"/>
    <mergeCell ref="F63:F65"/>
    <mergeCell ref="C63:C65"/>
    <mergeCell ref="C52:C54"/>
    <mergeCell ref="D52:D54"/>
    <mergeCell ref="F52:F54"/>
    <mergeCell ref="D55:D58"/>
    <mergeCell ref="C55:C58"/>
    <mergeCell ref="F55:F58"/>
    <mergeCell ref="C59:C61"/>
    <mergeCell ref="F59:F61"/>
    <mergeCell ref="D59:D61"/>
    <mergeCell ref="D63:D65"/>
    <mergeCell ref="D98:D104"/>
    <mergeCell ref="D86:D88"/>
    <mergeCell ref="C86:C88"/>
    <mergeCell ref="F86:F88"/>
    <mergeCell ref="F98:F104"/>
    <mergeCell ref="F82:F85"/>
    <mergeCell ref="D82:D85"/>
    <mergeCell ref="C82:C85"/>
    <mergeCell ref="C78:C81"/>
    <mergeCell ref="D78:D81"/>
    <mergeCell ref="L74:L77"/>
    <mergeCell ref="L67:L70"/>
    <mergeCell ref="L71:L72"/>
    <mergeCell ref="C71:C72"/>
    <mergeCell ref="F71:F72"/>
    <mergeCell ref="F67:F70"/>
    <mergeCell ref="C67:C70"/>
    <mergeCell ref="D71:D72"/>
    <mergeCell ref="D67:D70"/>
    <mergeCell ref="D74:D77"/>
    <mergeCell ref="C74:C77"/>
    <mergeCell ref="F74:F77"/>
    <mergeCell ref="F78:F81"/>
    <mergeCell ref="D149:D153"/>
    <mergeCell ref="F149:F153"/>
    <mergeCell ref="D154:D158"/>
    <mergeCell ref="D159:D162"/>
    <mergeCell ref="F125:F130"/>
    <mergeCell ref="F131:F134"/>
    <mergeCell ref="F135:F138"/>
    <mergeCell ref="F139:F143"/>
    <mergeCell ref="D125:D130"/>
    <mergeCell ref="D144:D146"/>
    <mergeCell ref="D147:D148"/>
    <mergeCell ref="F147:F148"/>
    <mergeCell ref="F154:F158"/>
    <mergeCell ref="F159:F162"/>
    <mergeCell ref="F194:F195"/>
    <mergeCell ref="D194:D195"/>
    <mergeCell ref="C194:C195"/>
    <mergeCell ref="C177:C180"/>
    <mergeCell ref="F173:F176"/>
    <mergeCell ref="F177:F180"/>
    <mergeCell ref="C189:C193"/>
    <mergeCell ref="C185:C188"/>
    <mergeCell ref="D185:D188"/>
    <mergeCell ref="C171:C172"/>
    <mergeCell ref="D171:D172"/>
    <mergeCell ref="F171:F172"/>
    <mergeCell ref="D189:D193"/>
    <mergeCell ref="F189:F193"/>
    <mergeCell ref="F185:F188"/>
    <mergeCell ref="D181:D184"/>
    <mergeCell ref="D173:D176"/>
    <mergeCell ref="C173:C176"/>
    <mergeCell ref="C181:C184"/>
    <mergeCell ref="F181:F184"/>
    <mergeCell ref="D177:D180"/>
    <mergeCell ref="L52:L54"/>
    <mergeCell ref="L55:L58"/>
    <mergeCell ref="L59:L61"/>
    <mergeCell ref="L63:L65"/>
    <mergeCell ref="L78:L81"/>
    <mergeCell ref="L82:L85"/>
    <mergeCell ref="L86:L88"/>
    <mergeCell ref="L89:L97"/>
    <mergeCell ref="L98:L104"/>
    <mergeCell ref="M86:M88"/>
    <mergeCell ref="C98:C104"/>
    <mergeCell ref="C105:C111"/>
    <mergeCell ref="C112:C118"/>
    <mergeCell ref="C149:C153"/>
    <mergeCell ref="L105:L111"/>
    <mergeCell ref="L112:L118"/>
    <mergeCell ref="L125:L130"/>
    <mergeCell ref="L131:L134"/>
    <mergeCell ref="L135:L138"/>
    <mergeCell ref="L139:L143"/>
    <mergeCell ref="L144:L146"/>
    <mergeCell ref="L147:L148"/>
    <mergeCell ref="C147:C148"/>
    <mergeCell ref="C139:C143"/>
    <mergeCell ref="C135:C138"/>
    <mergeCell ref="C131:C134"/>
    <mergeCell ref="D131:D134"/>
    <mergeCell ref="D135:D138"/>
    <mergeCell ref="D139:D143"/>
    <mergeCell ref="F105:F111"/>
    <mergeCell ref="F112:F118"/>
    <mergeCell ref="D105:D111"/>
    <mergeCell ref="D112:D118"/>
  </mergeCells>
  <phoneticPr fontId="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47EC-0A7A-41E7-BA2C-0916E6DC5F3F}">
  <dimension ref="B1:G66"/>
  <sheetViews>
    <sheetView topLeftCell="A43" zoomScale="115" zoomScaleNormal="55" workbookViewId="0">
      <selection activeCell="E56" sqref="E56"/>
    </sheetView>
  </sheetViews>
  <sheetFormatPr defaultColWidth="8.41796875" defaultRowHeight="14.4"/>
  <cols>
    <col min="2" max="2" width="14.41796875" bestFit="1" customWidth="1"/>
    <col min="3" max="3" width="45.41796875" customWidth="1"/>
    <col min="4" max="4" width="20.41796875" customWidth="1"/>
    <col min="5" max="5" width="28.83984375" customWidth="1"/>
    <col min="6" max="6" width="68.68359375" customWidth="1"/>
    <col min="7" max="7" width="65.15625" customWidth="1"/>
    <col min="8" max="8" width="14.41796875" customWidth="1"/>
    <col min="9" max="9" width="14.41796875" bestFit="1" customWidth="1"/>
    <col min="10" max="10" width="12.41796875" bestFit="1" customWidth="1"/>
    <col min="11" max="11" width="12.41796875" customWidth="1"/>
    <col min="12" max="12" width="9.41796875" bestFit="1" customWidth="1"/>
    <col min="13" max="13" width="19.41796875" bestFit="1" customWidth="1"/>
    <col min="16384" max="16384" width="8.41796875" bestFit="1" customWidth="1"/>
  </cols>
  <sheetData>
    <row r="1" spans="2:6">
      <c r="E1" s="204">
        <f>'Data entry'!F31</f>
        <v>831</v>
      </c>
      <c r="F1" t="s">
        <v>314</v>
      </c>
    </row>
    <row r="2" spans="2:6">
      <c r="B2" s="3" t="s">
        <v>315</v>
      </c>
      <c r="D2" s="266"/>
      <c r="E2" s="204">
        <v>5000</v>
      </c>
      <c r="F2" t="s">
        <v>316</v>
      </c>
    </row>
    <row r="3" spans="2:6">
      <c r="B3" s="208" t="s">
        <v>317</v>
      </c>
      <c r="C3" s="208" t="s">
        <v>318</v>
      </c>
      <c r="D3" s="238" t="s">
        <v>319</v>
      </c>
      <c r="E3" s="238" t="s">
        <v>320</v>
      </c>
      <c r="F3" s="210" t="s">
        <v>321</v>
      </c>
    </row>
    <row r="4" spans="2:6">
      <c r="B4" s="22" t="s">
        <v>80</v>
      </c>
      <c r="C4" s="2" t="s">
        <v>322</v>
      </c>
      <c r="D4" s="189"/>
      <c r="E4" s="2"/>
      <c r="F4" s="2"/>
    </row>
    <row r="5" spans="2:6">
      <c r="B5" s="432" t="s">
        <v>80</v>
      </c>
      <c r="C5" s="2" t="s">
        <v>323</v>
      </c>
      <c r="D5" s="439">
        <v>19900</v>
      </c>
      <c r="E5" s="433">
        <v>20021532</v>
      </c>
      <c r="F5" s="431"/>
    </row>
    <row r="6" spans="2:6">
      <c r="B6" s="237" t="s">
        <v>80</v>
      </c>
      <c r="C6" s="2" t="s">
        <v>324</v>
      </c>
      <c r="D6" s="440">
        <v>49500</v>
      </c>
      <c r="E6" s="100" t="s">
        <v>325</v>
      </c>
      <c r="F6" s="196"/>
    </row>
    <row r="7" spans="2:6">
      <c r="B7" s="237" t="s">
        <v>80</v>
      </c>
      <c r="C7" s="2" t="s">
        <v>326</v>
      </c>
      <c r="D7" s="440">
        <v>99000</v>
      </c>
      <c r="E7" s="100" t="s">
        <v>327</v>
      </c>
      <c r="F7" s="196"/>
    </row>
    <row r="8" spans="2:6">
      <c r="B8" s="237" t="s">
        <v>80</v>
      </c>
      <c r="C8" s="2" t="s">
        <v>328</v>
      </c>
      <c r="D8" s="440">
        <v>210000</v>
      </c>
      <c r="E8" s="100">
        <v>20038898</v>
      </c>
      <c r="F8" s="196"/>
    </row>
    <row r="9" spans="2:6">
      <c r="B9" s="237" t="s">
        <v>80</v>
      </c>
      <c r="C9" s="2" t="s">
        <v>329</v>
      </c>
      <c r="D9" s="440">
        <v>335000</v>
      </c>
      <c r="E9" s="100">
        <v>20038897</v>
      </c>
      <c r="F9" s="196"/>
    </row>
    <row r="10" spans="2:6">
      <c r="B10" s="237" t="s">
        <v>80</v>
      </c>
      <c r="C10" s="2" t="s">
        <v>330</v>
      </c>
      <c r="D10" s="440">
        <v>837250</v>
      </c>
      <c r="E10" s="100">
        <v>20012850</v>
      </c>
      <c r="F10" s="196"/>
    </row>
    <row r="11" spans="2:6">
      <c r="B11" s="237" t="s">
        <v>80</v>
      </c>
      <c r="C11" s="27" t="s">
        <v>331</v>
      </c>
      <c r="D11" s="441">
        <v>1460</v>
      </c>
      <c r="E11" s="236" t="s">
        <v>332</v>
      </c>
      <c r="F11" s="196" t="s">
        <v>333</v>
      </c>
    </row>
    <row r="12" spans="2:6">
      <c r="B12" s="237" t="s">
        <v>80</v>
      </c>
      <c r="C12" s="2" t="s">
        <v>334</v>
      </c>
      <c r="D12" s="440">
        <v>1000</v>
      </c>
      <c r="E12" s="100"/>
      <c r="F12" s="196"/>
    </row>
    <row r="13" spans="2:6">
      <c r="B13" s="237" t="s">
        <v>80</v>
      </c>
      <c r="C13" s="2" t="s">
        <v>335</v>
      </c>
      <c r="D13" s="440">
        <v>5250</v>
      </c>
      <c r="E13" s="100"/>
      <c r="F13" s="196"/>
    </row>
    <row r="14" spans="2:6">
      <c r="B14" s="237" t="s">
        <v>80</v>
      </c>
      <c r="C14" s="27" t="s">
        <v>336</v>
      </c>
      <c r="D14" s="441">
        <v>67000</v>
      </c>
      <c r="E14" s="100" t="s">
        <v>337</v>
      </c>
      <c r="F14" s="196"/>
    </row>
    <row r="15" spans="2:6">
      <c r="B15" s="237" t="s">
        <v>80</v>
      </c>
      <c r="C15" s="27" t="s">
        <v>338</v>
      </c>
      <c r="D15" s="441">
        <v>9555</v>
      </c>
      <c r="E15" s="100" t="s">
        <v>339</v>
      </c>
      <c r="F15" s="196"/>
    </row>
    <row r="16" spans="2:6">
      <c r="B16" s="237" t="s">
        <v>80</v>
      </c>
      <c r="C16" s="27" t="s">
        <v>340</v>
      </c>
      <c r="D16" s="441">
        <v>436000</v>
      </c>
      <c r="E16" s="100" t="s">
        <v>341</v>
      </c>
      <c r="F16" s="196"/>
    </row>
    <row r="17" spans="2:7">
      <c r="B17" s="237" t="s">
        <v>80</v>
      </c>
      <c r="C17" s="2" t="s">
        <v>342</v>
      </c>
      <c r="D17" s="665"/>
      <c r="E17" s="100" t="s">
        <v>343</v>
      </c>
      <c r="F17" s="196" t="s">
        <v>344</v>
      </c>
    </row>
    <row r="18" spans="2:7">
      <c r="B18" s="237" t="s">
        <v>80</v>
      </c>
      <c r="C18" s="2" t="s">
        <v>345</v>
      </c>
      <c r="D18" s="442"/>
      <c r="E18" s="100" t="s">
        <v>346</v>
      </c>
      <c r="F18" s="196" t="s">
        <v>347</v>
      </c>
    </row>
    <row r="19" spans="2:7">
      <c r="B19" s="237" t="s">
        <v>80</v>
      </c>
      <c r="C19" s="2" t="s">
        <v>348</v>
      </c>
      <c r="D19" s="443"/>
      <c r="E19" s="343" t="s">
        <v>349</v>
      </c>
      <c r="F19" s="196" t="s">
        <v>350</v>
      </c>
    </row>
    <row r="20" spans="2:7" ht="28.8">
      <c r="B20" s="237" t="s">
        <v>80</v>
      </c>
      <c r="C20" s="487" t="s">
        <v>351</v>
      </c>
      <c r="D20" s="444"/>
      <c r="E20" s="542" t="s">
        <v>352</v>
      </c>
      <c r="F20" s="541" t="s">
        <v>353</v>
      </c>
    </row>
    <row r="21" spans="2:7" ht="28.8">
      <c r="B21" s="237" t="s">
        <v>80</v>
      </c>
      <c r="C21" s="487" t="s">
        <v>354</v>
      </c>
      <c r="D21" s="443"/>
      <c r="E21" s="542" t="s">
        <v>355</v>
      </c>
      <c r="F21" s="541" t="s">
        <v>356</v>
      </c>
    </row>
    <row r="22" spans="2:7">
      <c r="B22" s="237" t="s">
        <v>80</v>
      </c>
      <c r="C22" s="487" t="s">
        <v>357</v>
      </c>
      <c r="D22" s="444"/>
      <c r="E22" s="543" t="s">
        <v>358</v>
      </c>
      <c r="F22" s="541" t="s">
        <v>359</v>
      </c>
    </row>
    <row r="23" spans="2:7">
      <c r="B23" s="237" t="s">
        <v>80</v>
      </c>
      <c r="C23" s="487" t="s">
        <v>360</v>
      </c>
      <c r="D23" s="444"/>
      <c r="E23" s="542" t="s">
        <v>361</v>
      </c>
      <c r="F23" s="541" t="s">
        <v>362</v>
      </c>
    </row>
    <row r="24" spans="2:7">
      <c r="E24" s="522"/>
      <c r="G24" s="13"/>
    </row>
    <row r="25" spans="2:7">
      <c r="B25" s="208" t="s">
        <v>317</v>
      </c>
      <c r="C25" s="207" t="s">
        <v>7</v>
      </c>
      <c r="D25" s="204" t="s">
        <v>319</v>
      </c>
      <c r="E25" s="204" t="s">
        <v>15</v>
      </c>
      <c r="F25" s="210" t="s">
        <v>321</v>
      </c>
      <c r="G25" s="13"/>
    </row>
    <row r="26" spans="2:7">
      <c r="B26" s="2"/>
      <c r="C26" s="2" t="str">
        <f>Language!B249</f>
        <v>PCR workstation</v>
      </c>
      <c r="D26" s="341">
        <v>3837.57</v>
      </c>
      <c r="E26" s="237">
        <f>IF($E$1&gt;=$E$2,3,2)</f>
        <v>2</v>
      </c>
      <c r="F26" s="209" t="s">
        <v>363</v>
      </c>
      <c r="G26" s="13"/>
    </row>
    <row r="27" spans="2:7">
      <c r="B27" s="2"/>
      <c r="C27" s="2" t="str">
        <f>Language!B250</f>
        <v>Plate magnet (for 96 well plate)</v>
      </c>
      <c r="D27" s="341">
        <v>1323.3</v>
      </c>
      <c r="E27" s="237">
        <f>IF($E$1&gt;=$E$2,4,2)</f>
        <v>2</v>
      </c>
      <c r="F27" s="209" t="s">
        <v>363</v>
      </c>
    </row>
    <row r="28" spans="2:7">
      <c r="B28" s="2"/>
      <c r="C28" s="2" t="str">
        <f>Language!B251</f>
        <v>Magnetic rack (for 12 1.5–2.0 mL tubes)</v>
      </c>
      <c r="D28" s="341">
        <v>374.13299999999998</v>
      </c>
      <c r="E28" s="237">
        <f>IF($E$1&gt;=$E$2,8,4)</f>
        <v>4</v>
      </c>
      <c r="F28" s="209" t="s">
        <v>363</v>
      </c>
    </row>
    <row r="29" spans="2:7">
      <c r="B29" s="2"/>
      <c r="C29" s="2" t="str">
        <f>Language!B252</f>
        <v>PCR cooling plates/strip holders</v>
      </c>
      <c r="D29" s="341">
        <v>84.21</v>
      </c>
      <c r="E29" s="237">
        <f>IF($E$1&gt;=$E$2,8,4)</f>
        <v>4</v>
      </c>
      <c r="F29" s="209" t="s">
        <v>363</v>
      </c>
    </row>
    <row r="30" spans="2:7">
      <c r="B30" s="2"/>
      <c r="C30" s="2" t="str">
        <f>Language!B253</f>
        <v>Dry bath (heat block)</v>
      </c>
      <c r="D30" s="341">
        <v>324.81</v>
      </c>
      <c r="E30" s="237">
        <f>IF($E$1&gt;=$E$2,2,1)</f>
        <v>1</v>
      </c>
      <c r="F30" s="209" t="s">
        <v>363</v>
      </c>
    </row>
    <row r="31" spans="2:7">
      <c r="B31" s="2"/>
      <c r="C31" s="2" t="str">
        <f>Language!B254</f>
        <v>Biosafety cabinet, class II, type A2</v>
      </c>
      <c r="D31" s="341">
        <v>12030</v>
      </c>
      <c r="E31" s="237">
        <f>IF($E$1&gt;=$E$2,2,1)</f>
        <v>1</v>
      </c>
      <c r="F31" s="209" t="s">
        <v>363</v>
      </c>
    </row>
    <row r="32" spans="2:7">
      <c r="B32" s="2"/>
      <c r="C32" s="2" t="str">
        <f>Language!B255</f>
        <v>Water bath 5L</v>
      </c>
      <c r="D32" s="341">
        <v>668.86800000000005</v>
      </c>
      <c r="E32" s="237">
        <f>IF($E$1&gt;=$E$2,2,1)</f>
        <v>1</v>
      </c>
      <c r="F32" s="209" t="s">
        <v>363</v>
      </c>
    </row>
    <row r="33" spans="2:6">
      <c r="B33" s="2"/>
      <c r="C33" s="2" t="str">
        <f>Language!B256</f>
        <v>Autoclave benchtop</v>
      </c>
      <c r="D33" s="341">
        <v>4210.5</v>
      </c>
      <c r="E33" s="237">
        <v>1</v>
      </c>
      <c r="F33" s="209" t="s">
        <v>363</v>
      </c>
    </row>
    <row r="34" spans="2:6">
      <c r="B34" s="2"/>
      <c r="C34" s="2" t="str">
        <f>Language!B257</f>
        <v>Vortex</v>
      </c>
      <c r="D34" s="341">
        <v>351.27600000000001</v>
      </c>
      <c r="E34" s="237">
        <f>IF($E$1&gt;=$E$2,4,2)</f>
        <v>2</v>
      </c>
      <c r="F34" s="209" t="s">
        <v>363</v>
      </c>
    </row>
    <row r="35" spans="2:6">
      <c r="B35" s="2"/>
      <c r="C35" s="2" t="str">
        <f>Language!B258</f>
        <v>Analytical balance</v>
      </c>
      <c r="D35" s="341">
        <v>994.88099999999997</v>
      </c>
      <c r="E35" s="237">
        <v>1</v>
      </c>
      <c r="F35" s="209" t="s">
        <v>363</v>
      </c>
    </row>
    <row r="36" spans="2:6">
      <c r="B36" s="2"/>
      <c r="C36" s="2" t="str">
        <f>Language!B259</f>
        <v>(-)20  freezer</v>
      </c>
      <c r="D36" s="341">
        <v>1039.3920000000001</v>
      </c>
      <c r="E36" s="237">
        <f>IF($E$1&gt;=$E$2,2,1)</f>
        <v>1</v>
      </c>
      <c r="F36" s="209" t="s">
        <v>363</v>
      </c>
    </row>
    <row r="37" spans="2:6">
      <c r="B37" s="2"/>
      <c r="C37" s="2" t="str">
        <f>Language!B260</f>
        <v>(-)80  freezer</v>
      </c>
      <c r="D37" s="341">
        <v>13719.012000000001</v>
      </c>
      <c r="E37" s="237">
        <f>IF($E$1&gt;=$E$2,2,1)</f>
        <v>1</v>
      </c>
      <c r="F37" s="209" t="s">
        <v>363</v>
      </c>
    </row>
    <row r="38" spans="2:6">
      <c r="B38" s="2"/>
      <c r="C38" s="2" t="str">
        <f>Language!B261</f>
        <v>Refrigerator (4C)</v>
      </c>
      <c r="D38" s="341">
        <v>1200</v>
      </c>
      <c r="E38" s="237">
        <f>IF($E$1&gt;=$E$2,2,1)</f>
        <v>1</v>
      </c>
      <c r="F38" s="209" t="s">
        <v>363</v>
      </c>
    </row>
    <row r="39" spans="2:6">
      <c r="B39" s="2"/>
      <c r="C39" s="2" t="str">
        <f>Language!B262</f>
        <v>Gel electrophoresis apparatus</v>
      </c>
      <c r="D39" s="341">
        <v>2977.4250000000002</v>
      </c>
      <c r="E39" s="237">
        <f>IF($E$1&gt;=$E$2,2,1)</f>
        <v>1</v>
      </c>
      <c r="F39" s="209" t="s">
        <v>363</v>
      </c>
    </row>
    <row r="40" spans="2:6">
      <c r="B40" s="2"/>
      <c r="C40" s="2" t="str">
        <f>Language!B263</f>
        <v>Uninterrupted power supply (1500V)</v>
      </c>
      <c r="D40" s="341">
        <v>1000</v>
      </c>
      <c r="E40" s="237">
        <v>1</v>
      </c>
      <c r="F40" s="209" t="s">
        <v>363</v>
      </c>
    </row>
    <row r="41" spans="2:6">
      <c r="B41" s="2"/>
      <c r="C41" s="2" t="str">
        <f>Language!B264</f>
        <v xml:space="preserve">Uninterrupted power supply (600V); </v>
      </c>
      <c r="D41" s="341">
        <v>600</v>
      </c>
      <c r="E41" s="237">
        <v>1</v>
      </c>
      <c r="F41" s="209" t="s">
        <v>363</v>
      </c>
    </row>
    <row r="42" spans="2:6">
      <c r="B42" s="2"/>
      <c r="C42" s="2" t="str">
        <f>Language!B265</f>
        <v>Thermal cycler (conventional)</v>
      </c>
      <c r="D42" s="341">
        <v>9000</v>
      </c>
      <c r="E42" s="237">
        <f>IF($E$1&gt;=$E$2,2,1)</f>
        <v>1</v>
      </c>
      <c r="F42" s="209" t="s">
        <v>363</v>
      </c>
    </row>
    <row r="43" spans="2:6">
      <c r="B43" s="2"/>
      <c r="C43" s="2" t="str">
        <f>Language!B266</f>
        <v>Thermal cycler (realtime)</v>
      </c>
      <c r="D43" s="341">
        <v>18000</v>
      </c>
      <c r="E43" s="237">
        <f>IF($E$1&gt;=$E$2,2,1)</f>
        <v>1</v>
      </c>
      <c r="F43" s="209" t="s">
        <v>363</v>
      </c>
    </row>
    <row r="44" spans="2:6">
      <c r="B44" s="2"/>
      <c r="C44" s="2" t="str">
        <f>Language!B267</f>
        <v>Water purification system</v>
      </c>
      <c r="D44" s="341">
        <v>8408.9699999999993</v>
      </c>
      <c r="E44" s="237">
        <v>1</v>
      </c>
      <c r="F44" s="209" t="s">
        <v>363</v>
      </c>
    </row>
    <row r="45" spans="2:6">
      <c r="B45" s="2"/>
      <c r="C45" s="2" t="str">
        <f>Language!B268</f>
        <v>Single channel pipette 100–1000μL</v>
      </c>
      <c r="D45" s="341">
        <v>234.58500000000001</v>
      </c>
      <c r="E45" s="237">
        <f t="shared" ref="E45:E50" si="0">IF($E$1&gt;=$E$2,5,3)</f>
        <v>3</v>
      </c>
      <c r="F45" s="209" t="s">
        <v>363</v>
      </c>
    </row>
    <row r="46" spans="2:6">
      <c r="B46" s="2"/>
      <c r="C46" s="2" t="str">
        <f>Language!B269</f>
        <v>Single channel pipette 20–200μL</v>
      </c>
      <c r="D46" s="341">
        <v>269.47199999999998</v>
      </c>
      <c r="E46" s="237">
        <f t="shared" si="0"/>
        <v>3</v>
      </c>
      <c r="F46" s="209" t="s">
        <v>363</v>
      </c>
    </row>
    <row r="47" spans="2:6">
      <c r="B47" s="2"/>
      <c r="C47" s="2" t="str">
        <f>Language!B270</f>
        <v>Single channel pipette 2–20μL</v>
      </c>
      <c r="D47" s="341">
        <v>257.44200000000001</v>
      </c>
      <c r="E47" s="237">
        <f t="shared" si="0"/>
        <v>3</v>
      </c>
      <c r="F47" s="209" t="s">
        <v>363</v>
      </c>
    </row>
    <row r="48" spans="2:6">
      <c r="B48" s="2"/>
      <c r="C48" s="2" t="str">
        <f>Language!B271</f>
        <v>Single channel pipette 1–10μL</v>
      </c>
      <c r="D48" s="341">
        <v>269.47199999999998</v>
      </c>
      <c r="E48" s="237">
        <f t="shared" si="0"/>
        <v>3</v>
      </c>
      <c r="F48" s="209" t="s">
        <v>363</v>
      </c>
    </row>
    <row r="49" spans="2:6">
      <c r="B49" s="2"/>
      <c r="C49" s="2" t="str">
        <f>Language!B272</f>
        <v>Single channel pipette 0.2–2μL</v>
      </c>
      <c r="D49" s="341">
        <v>234.58500000000001</v>
      </c>
      <c r="E49" s="237">
        <f t="shared" si="0"/>
        <v>3</v>
      </c>
      <c r="F49" s="209" t="s">
        <v>363</v>
      </c>
    </row>
    <row r="50" spans="2:6">
      <c r="B50" s="2"/>
      <c r="C50" s="2" t="str">
        <f>Language!B273</f>
        <v>8-channel multichannel pipettes 10–100μL</v>
      </c>
      <c r="D50" s="341">
        <v>678.49199999999996</v>
      </c>
      <c r="E50" s="237">
        <f t="shared" si="0"/>
        <v>3</v>
      </c>
      <c r="F50" s="209" t="s">
        <v>363</v>
      </c>
    </row>
    <row r="51" spans="2:6">
      <c r="B51" s="2"/>
      <c r="C51" s="2" t="str">
        <f>Language!B274</f>
        <v>Tube racks</v>
      </c>
      <c r="D51" s="341">
        <v>39.698999999999998</v>
      </c>
      <c r="E51" s="237">
        <f>IF($E$1&gt;=$E$2,10,5)</f>
        <v>5</v>
      </c>
      <c r="F51" s="209" t="s">
        <v>363</v>
      </c>
    </row>
    <row r="52" spans="2:6">
      <c r="B52" s="2"/>
      <c r="C52" s="2" t="str">
        <f>Language!B275</f>
        <v>Cooling block (tube strips)</v>
      </c>
      <c r="D52" s="341">
        <v>291.12599999999998</v>
      </c>
      <c r="E52" s="237">
        <f>IF($E$1&gt;=$E$2,4,2)</f>
        <v>2</v>
      </c>
      <c r="F52" s="209" t="s">
        <v>363</v>
      </c>
    </row>
    <row r="53" spans="2:6">
      <c r="B53" s="2"/>
      <c r="C53" s="2" t="str">
        <f>Language!B276</f>
        <v>Cooling block (96 well plate)</v>
      </c>
      <c r="D53" s="341">
        <v>175.74</v>
      </c>
      <c r="E53" s="237">
        <f>IF($E$1&gt;=$E$2,2,1)</f>
        <v>1</v>
      </c>
      <c r="F53" s="209" t="s">
        <v>363</v>
      </c>
    </row>
    <row r="54" spans="2:6">
      <c r="B54" s="2"/>
      <c r="C54" s="2" t="str">
        <f>Language!B277</f>
        <v>Ice bucket</v>
      </c>
      <c r="D54" s="342">
        <v>173.9</v>
      </c>
      <c r="E54" s="237">
        <f>IF($E$1&gt;=$E$2,2,1)</f>
        <v>1</v>
      </c>
      <c r="F54" s="209" t="s">
        <v>363</v>
      </c>
    </row>
    <row r="55" spans="2:6">
      <c r="B55" s="2"/>
      <c r="C55" s="2" t="str">
        <f>Language!B278</f>
        <v>Fluorometer, single assay</v>
      </c>
      <c r="D55" s="341">
        <v>3035</v>
      </c>
      <c r="E55" s="237">
        <f>IF($E$1&lt;2500,1,0)</f>
        <v>1</v>
      </c>
      <c r="F55" s="209" t="s">
        <v>363</v>
      </c>
    </row>
    <row r="56" spans="2:6">
      <c r="B56" s="2"/>
      <c r="C56" s="2" t="str">
        <f>Language!B279</f>
        <v>Fluorometer, strip tube capable</v>
      </c>
      <c r="D56" s="341">
        <v>6600</v>
      </c>
      <c r="E56" s="237">
        <f>IF($E$1&gt;=2500,1,0)</f>
        <v>0</v>
      </c>
      <c r="F56" s="209" t="s">
        <v>363</v>
      </c>
    </row>
    <row r="57" spans="2:6">
      <c r="B57" s="2"/>
      <c r="C57" s="2" t="str">
        <f>Language!B280</f>
        <v>Air conditioners</v>
      </c>
      <c r="D57" s="341">
        <v>500</v>
      </c>
      <c r="E57" s="237">
        <v>3</v>
      </c>
      <c r="F57" s="209" t="s">
        <v>363</v>
      </c>
    </row>
    <row r="58" spans="2:6">
      <c r="B58" s="2"/>
      <c r="C58" s="2" t="str">
        <f>Language!B281</f>
        <v>Temperature logger</v>
      </c>
      <c r="D58" s="341">
        <v>170.4</v>
      </c>
      <c r="E58" s="237">
        <f>IF($E$1&gt;=$E$2,5,3)</f>
        <v>3</v>
      </c>
      <c r="F58" s="209" t="s">
        <v>363</v>
      </c>
    </row>
    <row r="59" spans="2:6">
      <c r="B59" s="2"/>
      <c r="C59" s="2" t="str">
        <f>Language!B282</f>
        <v>Centrifuge (plate)</v>
      </c>
      <c r="D59" s="341">
        <v>670.5</v>
      </c>
      <c r="E59" s="237">
        <v>2</v>
      </c>
      <c r="F59" s="209" t="s">
        <v>363</v>
      </c>
    </row>
    <row r="60" spans="2:6">
      <c r="B60" s="2"/>
      <c r="C60" s="2" t="str">
        <f>Language!B283</f>
        <v>Microcentrifuge (can hold  24 tubes of 1.5/2.0 mL)</v>
      </c>
      <c r="D60" s="341">
        <v>5760</v>
      </c>
      <c r="E60" s="237">
        <v>2</v>
      </c>
      <c r="F60" s="209" t="s">
        <v>363</v>
      </c>
    </row>
    <row r="61" spans="2:6">
      <c r="B61" s="2"/>
      <c r="C61" s="2" t="str">
        <f>Language!B284</f>
        <v>Centrifuge, refrigerated</v>
      </c>
      <c r="D61" s="341">
        <v>5554.8</v>
      </c>
      <c r="E61" s="237">
        <v>2</v>
      </c>
      <c r="F61" s="209" t="s">
        <v>363</v>
      </c>
    </row>
    <row r="62" spans="2:6">
      <c r="B62" s="2"/>
      <c r="C62" s="524" t="str">
        <f>Language!B285</f>
        <v>Liquid handler – extraction</v>
      </c>
      <c r="D62" s="525">
        <v>120000</v>
      </c>
      <c r="E62" s="523">
        <v>0</v>
      </c>
      <c r="F62" s="526" t="s">
        <v>363</v>
      </c>
    </row>
    <row r="63" spans="2:6">
      <c r="B63" s="2"/>
      <c r="C63" s="524" t="str">
        <f>Language!B286</f>
        <v>Liquid handler – PCR</v>
      </c>
      <c r="D63" s="525">
        <v>48000</v>
      </c>
      <c r="E63" s="523">
        <v>0</v>
      </c>
      <c r="F63" s="526" t="s">
        <v>363</v>
      </c>
    </row>
    <row r="64" spans="2:6">
      <c r="B64" s="2"/>
      <c r="C64" s="2" t="str">
        <f>Language!B287</f>
        <v>Bioanalyzer/TapeStation</v>
      </c>
      <c r="D64" s="341">
        <v>42000</v>
      </c>
      <c r="E64" s="237">
        <v>1</v>
      </c>
      <c r="F64" s="209" t="s">
        <v>363</v>
      </c>
    </row>
    <row r="65" spans="2:6">
      <c r="B65" s="2"/>
      <c r="C65" s="2" t="str">
        <f>Language!B288</f>
        <v>Liquid handler – library preparation</v>
      </c>
      <c r="D65" s="341">
        <v>96000</v>
      </c>
      <c r="E65" s="237">
        <f>IF($E$1&gt;=$E$2,1,0)</f>
        <v>0</v>
      </c>
      <c r="F65" s="209" t="s">
        <v>363</v>
      </c>
    </row>
    <row r="66" spans="2:6">
      <c r="B66" s="2"/>
      <c r="C66" s="2" t="str">
        <f>Language!B289</f>
        <v>Desktop computer</v>
      </c>
      <c r="D66" s="341">
        <v>478.8</v>
      </c>
      <c r="E66" s="237">
        <f>IF($E$1&gt;=$E$2,2,1)</f>
        <v>1</v>
      </c>
      <c r="F66" s="209" t="s">
        <v>363</v>
      </c>
    </row>
  </sheetData>
  <sheetProtection algorithmName="SHA-512" hashValue="H520EiS7eAA9QARiOIw2HsVrbCw4XaCyhSIQ+/ZMzXgn4zBBavcHAJqaIUjpfIl4Dq6iAEZU0deocB1MzALjuA==" saltValue="JqaFrmRpmUGOFoWjUxqiuA==" spinCount="100000" sheet="1" objects="1" scenarios="1" formatColumns="0" formatRow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07F4-83B5-481A-915A-E66D0F8066C1}">
  <dimension ref="A1:AF229"/>
  <sheetViews>
    <sheetView topLeftCell="A107" zoomScale="129" zoomScaleNormal="129" workbookViewId="0">
      <selection activeCell="B110" sqref="B110"/>
    </sheetView>
  </sheetViews>
  <sheetFormatPr defaultColWidth="8.41796875" defaultRowHeight="14.4"/>
  <cols>
    <col min="1" max="1" width="40.83984375" customWidth="1"/>
    <col min="2" max="2" width="70.83984375" customWidth="1"/>
    <col min="3" max="3" width="22.41796875" customWidth="1"/>
    <col min="4" max="6" width="27.68359375" customWidth="1"/>
    <col min="7" max="7" width="22.41796875" customWidth="1"/>
    <col min="8" max="8" width="26.83984375" customWidth="1"/>
    <col min="9" max="9" width="30" customWidth="1"/>
    <col min="10" max="10" width="22.15625" customWidth="1"/>
    <col min="11" max="11" width="19.26171875" bestFit="1" customWidth="1"/>
    <col min="12" max="12" width="19" customWidth="1"/>
    <col min="13" max="13" width="16.41796875" customWidth="1"/>
    <col min="14" max="14" width="51.41796875" customWidth="1"/>
    <col min="15" max="15" width="55.83984375" customWidth="1"/>
    <col min="16" max="16" width="16.83984375" customWidth="1"/>
    <col min="17" max="17" width="20" bestFit="1" customWidth="1"/>
    <col min="18" max="18" width="20.26171875" customWidth="1"/>
    <col min="19" max="19" width="11.41796875" customWidth="1"/>
    <col min="20" max="20" width="9.41796875" customWidth="1"/>
    <col min="21" max="21" width="19.83984375" customWidth="1"/>
    <col min="23" max="23" width="57.83984375" bestFit="1" customWidth="1"/>
  </cols>
  <sheetData>
    <row r="1" spans="1:22">
      <c r="C1" s="857" t="s">
        <v>364</v>
      </c>
      <c r="D1" s="858"/>
      <c r="E1" s="858"/>
      <c r="F1" s="858"/>
      <c r="G1" s="857"/>
      <c r="H1" s="857"/>
      <c r="I1" s="857"/>
      <c r="J1" s="857"/>
      <c r="K1" s="859"/>
      <c r="N1" s="326" t="s">
        <v>365</v>
      </c>
      <c r="O1" s="326" t="s">
        <v>366</v>
      </c>
      <c r="Q1" t="s">
        <v>367</v>
      </c>
    </row>
    <row r="2" spans="1:22" ht="57.6">
      <c r="A2" s="241" t="s">
        <v>368</v>
      </c>
      <c r="B2" s="241" t="s">
        <v>369</v>
      </c>
      <c r="C2" s="242" t="s">
        <v>96</v>
      </c>
      <c r="D2" s="243" t="s">
        <v>370</v>
      </c>
      <c r="E2" s="426" t="s">
        <v>371</v>
      </c>
      <c r="F2" s="426" t="s">
        <v>372</v>
      </c>
      <c r="G2" s="421" t="s">
        <v>373</v>
      </c>
      <c r="H2" s="188" t="s">
        <v>374</v>
      </c>
      <c r="I2" s="191" t="s">
        <v>375</v>
      </c>
      <c r="J2" s="240" t="s">
        <v>376</v>
      </c>
      <c r="L2" s="451">
        <v>1</v>
      </c>
      <c r="M2" s="269" t="s">
        <v>377</v>
      </c>
      <c r="N2" s="2" t="s">
        <v>378</v>
      </c>
      <c r="O2" s="2" t="s">
        <v>378</v>
      </c>
      <c r="Q2" s="345" t="s">
        <v>379</v>
      </c>
      <c r="R2" s="345" t="s">
        <v>379</v>
      </c>
      <c r="S2" s="345" t="s">
        <v>379</v>
      </c>
      <c r="T2" s="328" t="s">
        <v>380</v>
      </c>
      <c r="U2" s="328" t="s">
        <v>380</v>
      </c>
      <c r="V2" s="345" t="s">
        <v>381</v>
      </c>
    </row>
    <row r="3" spans="1:22">
      <c r="A3" s="65"/>
      <c r="B3" s="189" t="s">
        <v>382</v>
      </c>
      <c r="C3" s="417">
        <v>526.15</v>
      </c>
      <c r="D3" s="416">
        <v>1</v>
      </c>
      <c r="E3" s="424">
        <f>ROUNDUP(D3*'Data entry'!$C$28,0)</f>
        <v>53</v>
      </c>
      <c r="F3" s="425">
        <f>ROUNDUP(D3*'Data entry'!$F$28,0)</f>
        <v>21</v>
      </c>
      <c r="G3" s="252">
        <v>300</v>
      </c>
      <c r="H3" s="194">
        <f>I3/G3</f>
        <v>4000000</v>
      </c>
      <c r="I3" s="190">
        <f>1.2*10^9</f>
        <v>1200000000</v>
      </c>
      <c r="J3" s="62">
        <v>20031371</v>
      </c>
      <c r="N3" s="321" t="str" cm="1">
        <f t="array" ref="N3:N10" xml:space="preserve">
IFERROR(IF('Data entry'!C17=Annex2_Equipment!C5,'Annex3_Reagents and Consumables'!B3:B5,
IF('Data entry'!C17=Annex2_Equipment!C6,'Annex3_Reagents and Consumables'!B6:B8,
IF('Data entry'!C17=Annex2_Equipment!C7,'Annex3_Reagents and Consumables'!B9:B16,
IF('Data entry'!C17=Annex2_Equipment!C8,'Annex3_Reagents and Consumables'!B17:B23,
IF('Data entry'!C17=Annex2_Equipment!C9,'Annex3_Reagents and Consumables'!B17:B29,
IF('Data entry'!C17=Annex2_Equipment!C10,'Annex3_Reagents and Consumables'!B30:B41,
IF('Data entry'!C17=Annex2_Equipment!C11,'Annex3_Reagents and Consumables'!B42,
IF('Data entry'!C17=Annex2_Equipment!C12,'Annex3_Reagents and Consumables'!B43:B52,
IF('Data entry'!C17=Annex2_Equipment!C13,'Annex3_Reagents and Consumables'!B43:B52,
IF('Data entry'!C17=Annex2_Equipment!C14,'Annex3_Reagents and Consumables'!B43:B52,
IF('Data entry'!C17=Annex2_Equipment!C15,'Annex3_Reagents and Consumables'!B53:B58,
IF('Data entry'!C17=Annex2_Equipment!C16, 'Annex3_Reagents and Consumables'!B53:B58,
IF('Data entry'!C17=Annex2_Equipment!C17,'Annex3_Reagents and Consumables'!B59:B64,
IF('Data entry'!C17=Annex2_Equipment!C18,'Annex3_Reagents and Consumables'!B59:B64,
IF('Data entry'!C17=Annex2_Equipment!C19,'Annex3_Reagents and Consumables'!B59:B64,
IF('Data entry'!C17=Annex2_Equipment!C20,'Annex3_Reagents and Consumables'!B65:B66,
IF('Data entry'!C17=Annex2_Equipment!C21,'Annex3_Reagents and Consumables'!B67:B71,
IF('Data entry'!C17=Annex2_Equipment!C22,'Annex3_Reagents and Consumables'!B72:B75, IF('Data entry'!C17=Annex2_Equipment!C23,'Annex3_Reagents and Consumables'!B76:B83,""))))))))))))))))))),"")</f>
        <v>MiSeq Reagent Kit v3 (150-cycle)</v>
      </c>
      <c r="O3" s="321" t="str" cm="1">
        <f t="array" ref="O3:O12" xml:space="preserve">
IFERROR(IF('Data entry'!F17=Annex2_Equipment!C5,'Annex3_Reagents and Consumables'!B3:B5,
IF('Data entry'!F17=Annex2_Equipment!C6,'Annex3_Reagents and Consumables'!B6:B8,
IF('Data entry'!F17=Annex2_Equipment!C7,'Annex3_Reagents and Consumables'!B9:B16,
IF('Data entry'!F17=Annex2_Equipment!C8,'Annex3_Reagents and Consumables'!B17:B23,
IF('Data entry'!F17=Annex2_Equipment!C9,'Annex3_Reagents and Consumables'!B17:B29,
IF('Data entry'!F17=Annex2_Equipment!C10,'Annex3_Reagents and Consumables'!B30:B41,
IF('Data entry'!F17=Annex2_Equipment!C11,'Annex3_Reagents and Consumables'!B42,
IF('Data entry'!F17=Annex2_Equipment!C12,'Annex3_Reagents and Consumables'!B43:B52,
IF('Data entry'!F17=Annex2_Equipment!C13,'Annex3_Reagents and Consumables'!B43:B52,
IF('Data entry'!F17=Annex2_Equipment!C14,'Annex3_Reagents and Consumables'!B43:B52,
IF('Data entry'!F17=Annex2_Equipment!C15,'Annex3_Reagents and Consumables'!B53:B58,
IF('Data entry'!F17=Annex2_Equipment!C16, 'Annex3_Reagents and Consumables'!B53:B58,
IF('Data entry'!F17=Annex2_Equipment!C17,'Annex3_Reagents and Consumables'!B59:B64,
IF('Data entry'!F17=Annex2_Equipment!C18,'Annex3_Reagents and Consumables'!B59:B64,
IF('Data entry'!F17=Annex2_Equipment!C19,'Annex3_Reagents and Consumables'!B59:B64,
IF('Data entry'!F17=Annex2_Equipment!C20,'Annex3_Reagents and Consumables'!B65:B66,
IF('Data entry'!F17=Annex2_Equipment!C21,'Annex3_Reagents and Consumables'!B67:B71,
IF('Data entry'!F17=Annex2_Equipment!C22,'Annex3_Reagents and Consumables'!B72:B75, IF('Data entry'!F17=Annex2_Equipment!C23,'Annex3_Reagents and Consumables'!B76:B83,""))))))))))))))))))),"")</f>
        <v>1x MinION or GridION R9.4.1 or R10.4.1</v>
      </c>
      <c r="Q3" s="349" t="s">
        <v>383</v>
      </c>
      <c r="R3" s="349" t="s">
        <v>384</v>
      </c>
      <c r="S3" s="349" t="s">
        <v>385</v>
      </c>
      <c r="T3" s="349" t="s">
        <v>384</v>
      </c>
      <c r="U3" s="349" t="s">
        <v>385</v>
      </c>
      <c r="V3" s="350" t="s">
        <v>386</v>
      </c>
    </row>
    <row r="4" spans="1:22">
      <c r="A4" s="65"/>
      <c r="B4" s="189" t="s">
        <v>387</v>
      </c>
      <c r="C4" s="417">
        <v>2183</v>
      </c>
      <c r="D4" s="416">
        <f>1/4</f>
        <v>0.25</v>
      </c>
      <c r="E4" s="424">
        <f>ROUNDUP(D4*'Data entry'!$C$28,0)</f>
        <v>14</v>
      </c>
      <c r="F4" s="425">
        <f>ROUNDUP(D4*'Data entry'!$F$28,0)</f>
        <v>6</v>
      </c>
      <c r="G4" s="252">
        <v>300</v>
      </c>
      <c r="H4" s="194">
        <f t="shared" ref="H4:H5" si="0">I4/G4</f>
        <v>4000000</v>
      </c>
      <c r="I4" s="190">
        <f>1.2*10^9</f>
        <v>1200000000</v>
      </c>
      <c r="J4" s="62">
        <v>20031374</v>
      </c>
      <c r="N4" s="2" t="str">
        <v>MiSeq Reagent Kit v3 (600 cycle)</v>
      </c>
      <c r="O4" s="2" t="str">
        <v>12x MinION or GridION R9.4.1 or R10.4.1</v>
      </c>
    </row>
    <row r="5" spans="1:22">
      <c r="A5" s="65"/>
      <c r="B5" s="189" t="s">
        <v>388</v>
      </c>
      <c r="C5" s="417">
        <v>4059</v>
      </c>
      <c r="D5" s="416">
        <f>1/8</f>
        <v>0.125</v>
      </c>
      <c r="E5" s="424">
        <f>ROUNDUP(D5*'Data entry'!$C$28,0)</f>
        <v>7</v>
      </c>
      <c r="F5" s="425">
        <f>ROUNDUP(D5*'Data entry'!$F$28,0)</f>
        <v>3</v>
      </c>
      <c r="G5" s="252">
        <v>300</v>
      </c>
      <c r="H5" s="194">
        <f t="shared" si="0"/>
        <v>4000000</v>
      </c>
      <c r="I5" s="190">
        <f>1.2*10^9</f>
        <v>1200000000</v>
      </c>
      <c r="J5" s="62">
        <v>20040760</v>
      </c>
      <c r="N5" s="2" t="str">
        <v>MiSeq Reagent Kit v2 (50-cycles)</v>
      </c>
      <c r="O5" s="2" t="str">
        <v>24x MinION or GridION R9.4.1 or R10.4.1</v>
      </c>
    </row>
    <row r="6" spans="1:22">
      <c r="A6" s="65"/>
      <c r="B6" s="189" t="s">
        <v>389</v>
      </c>
      <c r="C6" s="417">
        <v>1102</v>
      </c>
      <c r="D6" s="416">
        <v>1</v>
      </c>
      <c r="E6" s="424">
        <f>ROUNDUP(D6*'Data entry'!$C$28,0)</f>
        <v>53</v>
      </c>
      <c r="F6" s="425">
        <f>ROUNDUP(D6*'Data entry'!$F$28,0)</f>
        <v>21</v>
      </c>
      <c r="G6" s="252">
        <v>150</v>
      </c>
      <c r="H6" s="194">
        <f>I6/G6</f>
        <v>25000000</v>
      </c>
      <c r="I6" s="190">
        <f>3.75*10^9</f>
        <v>3750000000</v>
      </c>
      <c r="J6" s="62" t="s">
        <v>390</v>
      </c>
      <c r="N6" s="2" t="str">
        <v>MiSeq Reagent Kit v2 (300 cycle)</v>
      </c>
      <c r="O6" s="2" t="str">
        <v>48x MinION or GridION R9.4.1 or R10.4.1</v>
      </c>
    </row>
    <row r="7" spans="1:22">
      <c r="A7" s="65"/>
      <c r="B7" s="189" t="s">
        <v>391</v>
      </c>
      <c r="C7" s="417">
        <v>1768</v>
      </c>
      <c r="D7" s="416">
        <v>1</v>
      </c>
      <c r="E7" s="424">
        <f>ROUNDUP(D7*'Data entry'!$C$28,0)</f>
        <v>53</v>
      </c>
      <c r="F7" s="425">
        <f>ROUNDUP(D7*'Data entry'!$F$28,0)</f>
        <v>21</v>
      </c>
      <c r="G7" s="252">
        <v>300</v>
      </c>
      <c r="H7" s="194">
        <f>I7/G7</f>
        <v>25000000</v>
      </c>
      <c r="I7" s="190">
        <f>7.5*10^9</f>
        <v>7500000000</v>
      </c>
      <c r="J7" s="62" t="s">
        <v>392</v>
      </c>
      <c r="N7" s="2" t="str">
        <v>MiSeq Reagent Kit v2 (500-cycles)</v>
      </c>
      <c r="O7" s="2" t="str">
        <v>96x MinION or GridION R9.4.1 or R10.4.1</v>
      </c>
    </row>
    <row r="8" spans="1:22">
      <c r="A8" s="65"/>
      <c r="B8" s="189" t="s">
        <v>393</v>
      </c>
      <c r="C8" s="417">
        <v>630</v>
      </c>
      <c r="D8" s="416">
        <v>1</v>
      </c>
      <c r="E8" s="424">
        <f>ROUNDUP(D8*'Data entry'!$C$28,0)</f>
        <v>53</v>
      </c>
      <c r="F8" s="425">
        <f>ROUNDUP(D8*'Data entry'!$F$28,0)</f>
        <v>21</v>
      </c>
      <c r="G8" s="252">
        <v>300</v>
      </c>
      <c r="H8" s="194">
        <f>I8/G8</f>
        <v>8000000</v>
      </c>
      <c r="I8" s="190">
        <f>2.4*10^9</f>
        <v>2400000000</v>
      </c>
      <c r="J8" s="62" t="s">
        <v>394</v>
      </c>
      <c r="N8" s="2" t="str">
        <v>20x MiSeq Reagent Kit v2 (50-cycles)</v>
      </c>
      <c r="O8" s="2" t="str">
        <v>1x Flow Cell (RNA)</v>
      </c>
    </row>
    <row r="9" spans="1:22">
      <c r="A9" s="65"/>
      <c r="B9" s="189" t="s">
        <v>395</v>
      </c>
      <c r="C9" s="417">
        <v>1035</v>
      </c>
      <c r="D9" s="416">
        <v>1</v>
      </c>
      <c r="E9" s="424">
        <f>ROUNDUP(D9*'Data entry'!$C$28,0)</f>
        <v>53</v>
      </c>
      <c r="F9" s="425">
        <f>ROUNDUP(D9*'Data entry'!$F$28,0)</f>
        <v>21</v>
      </c>
      <c r="G9" s="252">
        <v>150</v>
      </c>
      <c r="H9" s="194">
        <f t="shared" ref="H9:H41" si="1">I9/G9</f>
        <v>22000000</v>
      </c>
      <c r="I9" s="190">
        <f>3.3*10^9</f>
        <v>3300000000</v>
      </c>
      <c r="J9" s="62" t="s">
        <v>396</v>
      </c>
      <c r="N9" s="2" t="str">
        <v>20x MiSeq Reagent Kit v2 (300 cycle)</v>
      </c>
      <c r="O9" s="2" t="str">
        <v>12x Flow Cell (RNA)</v>
      </c>
    </row>
    <row r="10" spans="1:22">
      <c r="A10" s="65"/>
      <c r="B10" s="189" t="s">
        <v>397</v>
      </c>
      <c r="C10" s="417">
        <v>1604</v>
      </c>
      <c r="D10" s="416">
        <v>1</v>
      </c>
      <c r="E10" s="424">
        <f>ROUNDUP(D10*'Data entry'!$C$28,0)</f>
        <v>53</v>
      </c>
      <c r="F10" s="425">
        <f>ROUNDUP(D10*'Data entry'!$F$28,0)</f>
        <v>21</v>
      </c>
      <c r="G10" s="252">
        <v>600</v>
      </c>
      <c r="H10" s="194">
        <f t="shared" si="1"/>
        <v>22000000</v>
      </c>
      <c r="I10" s="190">
        <f>13.2*10^9</f>
        <v>13200000000</v>
      </c>
      <c r="J10" s="62" t="s">
        <v>398</v>
      </c>
      <c r="N10" s="2" t="str">
        <v>20x MiSeq Reagent Kit v2 (500-cycles)</v>
      </c>
      <c r="O10" s="2" t="str">
        <v>24x Flow Cell (RNA)</v>
      </c>
    </row>
    <row r="11" spans="1:22">
      <c r="A11" s="65"/>
      <c r="B11" s="189" t="s">
        <v>399</v>
      </c>
      <c r="C11" s="417">
        <v>933</v>
      </c>
      <c r="D11" s="416">
        <v>1</v>
      </c>
      <c r="E11" s="424">
        <f>ROUNDUP(D11*'Data entry'!$C$28,0)</f>
        <v>53</v>
      </c>
      <c r="F11" s="425">
        <f>ROUNDUP(D11*'Data entry'!$F$28,0)</f>
        <v>21</v>
      </c>
      <c r="G11" s="252">
        <v>50</v>
      </c>
      <c r="H11" s="194">
        <f t="shared" si="1"/>
        <v>15000000</v>
      </c>
      <c r="I11" s="190">
        <f>750*10^6</f>
        <v>750000000</v>
      </c>
      <c r="J11" s="62" t="s">
        <v>400</v>
      </c>
      <c r="K11" t="s">
        <v>401</v>
      </c>
      <c r="N11" s="2"/>
      <c r="O11" s="2" t="str">
        <v>48x Flow Cell (RNA)</v>
      </c>
    </row>
    <row r="12" spans="1:22">
      <c r="A12" s="65"/>
      <c r="B12" s="189" t="s">
        <v>402</v>
      </c>
      <c r="C12" s="417">
        <v>1194</v>
      </c>
      <c r="D12" s="416">
        <v>1</v>
      </c>
      <c r="E12" s="424">
        <f>ROUNDUP(D12*'Data entry'!$C$28,0)</f>
        <v>53</v>
      </c>
      <c r="F12" s="425">
        <f>ROUNDUP(D12*'Data entry'!$F$28,0)</f>
        <v>21</v>
      </c>
      <c r="G12" s="252">
        <v>300</v>
      </c>
      <c r="H12" s="194">
        <f t="shared" si="1"/>
        <v>15000000</v>
      </c>
      <c r="I12" s="190">
        <f>4.5*10^9</f>
        <v>4500000000</v>
      </c>
      <c r="J12" s="62" t="s">
        <v>403</v>
      </c>
      <c r="K12" t="s">
        <v>401</v>
      </c>
      <c r="N12" s="2"/>
      <c r="O12" s="2" t="str">
        <v>96x Flow Cell (RNA)</v>
      </c>
    </row>
    <row r="13" spans="1:22">
      <c r="A13" s="65"/>
      <c r="B13" s="189" t="s">
        <v>404</v>
      </c>
      <c r="C13" s="68">
        <v>1343</v>
      </c>
      <c r="D13" s="235">
        <v>1</v>
      </c>
      <c r="E13" s="424">
        <f>ROUNDUP(D13*'Data entry'!$C$28,0)</f>
        <v>53</v>
      </c>
      <c r="F13" s="425">
        <f>ROUNDUP(D13*'Data entry'!$F$28,0)</f>
        <v>21</v>
      </c>
      <c r="G13" s="252">
        <v>500</v>
      </c>
      <c r="H13" s="194">
        <f t="shared" si="1"/>
        <v>15000000</v>
      </c>
      <c r="I13" s="190">
        <f>7.5*10^9</f>
        <v>7500000000</v>
      </c>
      <c r="J13" s="62" t="s">
        <v>405</v>
      </c>
      <c r="K13" t="s">
        <v>401</v>
      </c>
      <c r="N13" s="2"/>
      <c r="O13" s="2"/>
    </row>
    <row r="14" spans="1:22">
      <c r="A14" s="65"/>
      <c r="B14" s="189" t="s">
        <v>406</v>
      </c>
      <c r="C14" s="68">
        <v>17635</v>
      </c>
      <c r="D14" s="235">
        <f>1/20</f>
        <v>0.05</v>
      </c>
      <c r="E14" s="424">
        <f>ROUNDUP(D14*'Data entry'!$C$28,0)</f>
        <v>3</v>
      </c>
      <c r="F14" s="425">
        <f>ROUNDUP(D14*'Data entry'!$F$28,0)</f>
        <v>2</v>
      </c>
      <c r="G14" s="252">
        <v>50</v>
      </c>
      <c r="H14" s="194">
        <f t="shared" si="1"/>
        <v>15000000</v>
      </c>
      <c r="I14" s="190">
        <f>750*10^6</f>
        <v>750000000</v>
      </c>
      <c r="J14" s="62" t="s">
        <v>407</v>
      </c>
      <c r="K14" t="s">
        <v>401</v>
      </c>
      <c r="N14" s="2"/>
      <c r="O14" s="2"/>
    </row>
    <row r="15" spans="1:22">
      <c r="A15" s="65"/>
      <c r="B15" s="189" t="s">
        <v>408</v>
      </c>
      <c r="C15" s="68">
        <v>22740</v>
      </c>
      <c r="D15" s="235">
        <f>1/20</f>
        <v>0.05</v>
      </c>
      <c r="E15" s="424">
        <f>ROUNDUP(D15*'Data entry'!$C$28,0)</f>
        <v>3</v>
      </c>
      <c r="F15" s="425">
        <f>ROUNDUP(D15*'Data entry'!$F$28,0)</f>
        <v>2</v>
      </c>
      <c r="G15" s="252">
        <v>300</v>
      </c>
      <c r="H15" s="194">
        <f t="shared" si="1"/>
        <v>15000000</v>
      </c>
      <c r="I15" s="190">
        <f>4.5*10^9</f>
        <v>4500000000</v>
      </c>
      <c r="J15" s="62" t="s">
        <v>409</v>
      </c>
      <c r="K15" t="s">
        <v>401</v>
      </c>
      <c r="N15" s="2"/>
      <c r="O15" s="2"/>
    </row>
    <row r="16" spans="1:22">
      <c r="A16" s="65"/>
      <c r="B16" s="189" t="s">
        <v>410</v>
      </c>
      <c r="C16" s="68">
        <v>25179</v>
      </c>
      <c r="D16" s="235">
        <f>1/20</f>
        <v>0.05</v>
      </c>
      <c r="E16" s="424">
        <f>ROUNDUP(D16*'Data entry'!$C$28,0)</f>
        <v>3</v>
      </c>
      <c r="F16" s="425">
        <f>ROUNDUP(D16*'Data entry'!$F$28,0)</f>
        <v>2</v>
      </c>
      <c r="G16" s="252">
        <v>500</v>
      </c>
      <c r="H16" s="194">
        <f t="shared" si="1"/>
        <v>15000000</v>
      </c>
      <c r="I16" s="190">
        <f>7.5*10^9</f>
        <v>7500000000</v>
      </c>
      <c r="J16" s="62" t="s">
        <v>411</v>
      </c>
      <c r="K16" t="s">
        <v>401</v>
      </c>
      <c r="N16" s="2"/>
      <c r="O16" s="2"/>
    </row>
    <row r="17" spans="1:15">
      <c r="A17" s="65"/>
      <c r="B17" s="189" t="s">
        <v>412</v>
      </c>
      <c r="C17" s="344">
        <v>1080</v>
      </c>
      <c r="D17" s="235">
        <v>1</v>
      </c>
      <c r="E17" s="424">
        <f>ROUNDUP(D17*'Data entry'!$C$28,0)</f>
        <v>53</v>
      </c>
      <c r="F17" s="425">
        <f>ROUNDUP(D17*'Data entry'!$F$28,0)</f>
        <v>21</v>
      </c>
      <c r="G17" s="252">
        <v>100</v>
      </c>
      <c r="H17" s="194">
        <f t="shared" si="1"/>
        <v>100000000</v>
      </c>
      <c r="I17" s="190">
        <f>10*10^9</f>
        <v>10000000000</v>
      </c>
      <c r="J17" s="36">
        <v>20100983</v>
      </c>
      <c r="N17" s="2"/>
      <c r="O17" s="2"/>
    </row>
    <row r="18" spans="1:15">
      <c r="A18" s="65"/>
      <c r="B18" s="189" t="s">
        <v>413</v>
      </c>
      <c r="C18" s="344">
        <v>2650</v>
      </c>
      <c r="D18" s="235">
        <v>1</v>
      </c>
      <c r="E18" s="424">
        <f>ROUNDUP(D18*'Data entry'!$C$28,0)</f>
        <v>53</v>
      </c>
      <c r="F18" s="425">
        <f>ROUNDUP(D18*'Data entry'!$F$28,0)</f>
        <v>21</v>
      </c>
      <c r="G18" s="252">
        <v>300</v>
      </c>
      <c r="H18" s="194">
        <f t="shared" si="1"/>
        <v>100000000</v>
      </c>
      <c r="I18" s="190">
        <f>30*10^9</f>
        <v>30000000000</v>
      </c>
      <c r="J18" s="36">
        <v>20100982</v>
      </c>
      <c r="N18" s="2"/>
      <c r="O18" s="2"/>
    </row>
    <row r="19" spans="1:15">
      <c r="A19" s="65"/>
      <c r="B19" s="189" t="s">
        <v>414</v>
      </c>
      <c r="C19" s="344">
        <v>5400</v>
      </c>
      <c r="D19" s="235">
        <v>1</v>
      </c>
      <c r="E19" s="424">
        <f>ROUNDUP(D19*'Data entry'!$C$28,0)</f>
        <v>53</v>
      </c>
      <c r="F19" s="425">
        <f>ROUNDUP(D19*'Data entry'!$F$28,0)</f>
        <v>21</v>
      </c>
      <c r="G19" s="252">
        <v>600</v>
      </c>
      <c r="H19" s="194">
        <f t="shared" si="1"/>
        <v>100000000</v>
      </c>
      <c r="I19" s="190">
        <f>60*10^9</f>
        <v>60000000000</v>
      </c>
      <c r="J19" s="36">
        <v>20100981</v>
      </c>
    </row>
    <row r="20" spans="1:15">
      <c r="A20" s="65"/>
      <c r="B20" s="189" t="s">
        <v>415</v>
      </c>
      <c r="C20" s="344">
        <v>2100</v>
      </c>
      <c r="D20" s="235">
        <v>1</v>
      </c>
      <c r="E20" s="424">
        <f>ROUNDUP(D20*'Data entry'!$C$28,0)</f>
        <v>53</v>
      </c>
      <c r="F20" s="425">
        <f>ROUNDUP(D20*'Data entry'!$F$28,0)</f>
        <v>21</v>
      </c>
      <c r="G20" s="252">
        <v>100</v>
      </c>
      <c r="H20" s="194">
        <f t="shared" si="1"/>
        <v>400000000</v>
      </c>
      <c r="I20" s="190">
        <f>40*10^9</f>
        <v>40000000000</v>
      </c>
      <c r="J20" s="36">
        <v>20100987</v>
      </c>
    </row>
    <row r="21" spans="1:15">
      <c r="A21" s="65"/>
      <c r="B21" s="189" t="s">
        <v>416</v>
      </c>
      <c r="C21" s="344">
        <v>4200</v>
      </c>
      <c r="D21" s="235">
        <v>1</v>
      </c>
      <c r="E21" s="424">
        <f>ROUNDUP(D21*'Data entry'!$C$28,0)</f>
        <v>53</v>
      </c>
      <c r="F21" s="425">
        <f>ROUNDUP(D21*'Data entry'!$F$28,0)</f>
        <v>21</v>
      </c>
      <c r="G21" s="252">
        <v>200</v>
      </c>
      <c r="H21" s="194">
        <f t="shared" si="1"/>
        <v>400000000</v>
      </c>
      <c r="I21" s="190">
        <f>80*10^9</f>
        <v>80000000000</v>
      </c>
      <c r="J21" s="36">
        <v>20100986</v>
      </c>
    </row>
    <row r="22" spans="1:15">
      <c r="A22" s="65"/>
      <c r="B22" s="189" t="s">
        <v>417</v>
      </c>
      <c r="C22" s="344">
        <v>6200</v>
      </c>
      <c r="D22" s="235">
        <v>1</v>
      </c>
      <c r="E22" s="424">
        <f>ROUNDUP(D22*'Data entry'!$C$28,0)</f>
        <v>53</v>
      </c>
      <c r="F22" s="425">
        <f>ROUNDUP(D22*'Data entry'!$F$28,0)</f>
        <v>21</v>
      </c>
      <c r="G22" s="252">
        <v>300</v>
      </c>
      <c r="H22" s="194">
        <f t="shared" si="1"/>
        <v>400000000</v>
      </c>
      <c r="I22" s="190">
        <f>120*10^9</f>
        <v>120000000000</v>
      </c>
      <c r="J22" s="36">
        <v>20100985</v>
      </c>
    </row>
    <row r="23" spans="1:15">
      <c r="A23" s="65"/>
      <c r="B23" s="189" t="s">
        <v>418</v>
      </c>
      <c r="C23" s="344">
        <v>12000</v>
      </c>
      <c r="D23" s="235">
        <v>1</v>
      </c>
      <c r="E23" s="424">
        <f>ROUNDUP(D23*'Data entry'!$C$28,0)</f>
        <v>53</v>
      </c>
      <c r="F23" s="425">
        <f>ROUNDUP(D23*'Data entry'!$F$28,0)</f>
        <v>21</v>
      </c>
      <c r="G23" s="252">
        <v>600</v>
      </c>
      <c r="H23" s="194">
        <f t="shared" si="1"/>
        <v>400000000</v>
      </c>
      <c r="I23" s="190">
        <f>240*10^9</f>
        <v>240000000000</v>
      </c>
      <c r="J23" s="36">
        <v>20100984</v>
      </c>
    </row>
    <row r="24" spans="1:15">
      <c r="A24" s="65"/>
      <c r="B24" s="189" t="s">
        <v>419</v>
      </c>
      <c r="C24" s="344">
        <v>2755</v>
      </c>
      <c r="D24" s="235">
        <v>1</v>
      </c>
      <c r="E24" s="424">
        <f>ROUNDUP(D24*'Data entry'!$C$28,0)</f>
        <v>53</v>
      </c>
      <c r="F24" s="425">
        <f>ROUNDUP(D24*'Data entry'!$F$28,0)</f>
        <v>21</v>
      </c>
      <c r="G24" s="252">
        <v>100</v>
      </c>
      <c r="H24" s="194">
        <f t="shared" si="1"/>
        <v>1200000000</v>
      </c>
      <c r="I24" s="190">
        <f>120*10^9</f>
        <v>120000000000</v>
      </c>
      <c r="J24" s="36">
        <v>20100990</v>
      </c>
    </row>
    <row r="25" spans="1:15">
      <c r="A25" s="65"/>
      <c r="B25" s="189" t="s">
        <v>420</v>
      </c>
      <c r="C25" s="344">
        <v>5510</v>
      </c>
      <c r="D25" s="235">
        <v>1</v>
      </c>
      <c r="E25" s="424">
        <f>ROUNDUP(D25*'Data entry'!$C$28,0)</f>
        <v>53</v>
      </c>
      <c r="F25" s="425">
        <f>ROUNDUP(D25*'Data entry'!$F$28,0)</f>
        <v>21</v>
      </c>
      <c r="G25" s="252">
        <v>200</v>
      </c>
      <c r="H25" s="194">
        <f t="shared" si="1"/>
        <v>1200000000</v>
      </c>
      <c r="I25" s="190">
        <f>240*10^9</f>
        <v>240000000000</v>
      </c>
      <c r="J25" s="36">
        <v>20100989</v>
      </c>
    </row>
    <row r="26" spans="1:15">
      <c r="A26" s="65"/>
      <c r="B26" s="189" t="s">
        <v>421</v>
      </c>
      <c r="C26" s="344">
        <v>8265</v>
      </c>
      <c r="D26" s="235">
        <v>1</v>
      </c>
      <c r="E26" s="424">
        <f>ROUNDUP(D26*'Data entry'!$C$28,0)</f>
        <v>53</v>
      </c>
      <c r="F26" s="425">
        <f>ROUNDUP(D26*'Data entry'!$F$28,0)</f>
        <v>21</v>
      </c>
      <c r="G26" s="252">
        <v>300</v>
      </c>
      <c r="H26" s="194">
        <f t="shared" si="1"/>
        <v>1200000000</v>
      </c>
      <c r="I26" s="190">
        <f>360*10^9</f>
        <v>360000000000</v>
      </c>
      <c r="J26" s="36">
        <v>20100988</v>
      </c>
    </row>
    <row r="27" spans="1:15">
      <c r="A27" s="65"/>
      <c r="B27" s="189" t="s">
        <v>422</v>
      </c>
      <c r="C27" s="344">
        <v>6250</v>
      </c>
      <c r="D27" s="235">
        <v>1</v>
      </c>
      <c r="E27" s="424">
        <f>ROUNDUP(D27*'Data entry'!$C$28,0)</f>
        <v>53</v>
      </c>
      <c r="F27" s="425">
        <f>ROUNDUP(D27*'Data entry'!$F$28,0)</f>
        <v>21</v>
      </c>
      <c r="G27" s="252">
        <v>100</v>
      </c>
      <c r="H27" s="194">
        <f t="shared" si="1"/>
        <v>1800000000</v>
      </c>
      <c r="I27" s="190">
        <f>180*10^9</f>
        <v>180000000000</v>
      </c>
      <c r="J27" s="36">
        <v>20100994</v>
      </c>
    </row>
    <row r="28" spans="1:15">
      <c r="A28" s="65"/>
      <c r="B28" s="189" t="s">
        <v>423</v>
      </c>
      <c r="C28" s="344">
        <v>12500</v>
      </c>
      <c r="D28" s="235">
        <v>1</v>
      </c>
      <c r="E28" s="424">
        <f>ROUNDUP(D28*'Data entry'!$C$28,0)</f>
        <v>53</v>
      </c>
      <c r="F28" s="425">
        <f>ROUNDUP(D28*'Data entry'!$F$28,0)</f>
        <v>21</v>
      </c>
      <c r="G28" s="252">
        <v>200</v>
      </c>
      <c r="H28" s="194">
        <f t="shared" si="1"/>
        <v>1800000000</v>
      </c>
      <c r="I28" s="190">
        <f>360*10^9</f>
        <v>360000000000</v>
      </c>
      <c r="J28" s="36">
        <v>20100993</v>
      </c>
    </row>
    <row r="29" spans="1:15">
      <c r="A29" s="65"/>
      <c r="B29" s="189" t="s">
        <v>424</v>
      </c>
      <c r="C29" s="344">
        <v>18750</v>
      </c>
      <c r="D29" s="235">
        <v>1</v>
      </c>
      <c r="E29" s="424">
        <f>ROUNDUP(D29*'Data entry'!$C$28,0)</f>
        <v>53</v>
      </c>
      <c r="F29" s="425">
        <f>ROUNDUP(D29*'Data entry'!$F$28,0)</f>
        <v>21</v>
      </c>
      <c r="G29" s="252">
        <v>300</v>
      </c>
      <c r="H29" s="194">
        <f t="shared" si="1"/>
        <v>1800000000</v>
      </c>
      <c r="I29" s="190">
        <f>540*10^9</f>
        <v>540000000000</v>
      </c>
      <c r="J29" s="36">
        <v>20100992</v>
      </c>
    </row>
    <row r="30" spans="1:15">
      <c r="A30" s="65"/>
      <c r="B30" s="189" t="s">
        <v>425</v>
      </c>
      <c r="C30" s="68">
        <v>2587.4</v>
      </c>
      <c r="D30" s="235">
        <v>1</v>
      </c>
      <c r="E30" s="424">
        <f>ROUNDUP(D30*'Data entry'!$C$28,0)</f>
        <v>53</v>
      </c>
      <c r="F30" s="425">
        <f>ROUNDUP(D30*'Data entry'!$F$28,0)</f>
        <v>21</v>
      </c>
      <c r="G30" s="252">
        <v>200</v>
      </c>
      <c r="H30" s="194">
        <f t="shared" si="1"/>
        <v>670000000</v>
      </c>
      <c r="I30" s="286">
        <f>134*10^9</f>
        <v>134000000000</v>
      </c>
      <c r="J30" s="36">
        <v>20040719</v>
      </c>
      <c r="K30" t="s">
        <v>401</v>
      </c>
    </row>
    <row r="31" spans="1:15">
      <c r="A31" s="65"/>
      <c r="B31" s="189" t="s">
        <v>426</v>
      </c>
      <c r="C31" s="68">
        <v>14760</v>
      </c>
      <c r="D31" s="235">
        <v>1</v>
      </c>
      <c r="E31" s="424">
        <f>ROUNDUP(D31*'Data entry'!$C$28,0)</f>
        <v>53</v>
      </c>
      <c r="F31" s="425">
        <f>ROUNDUP(D31*'Data entry'!$F$28,0)</f>
        <v>21</v>
      </c>
      <c r="G31" s="252">
        <v>300</v>
      </c>
      <c r="H31" s="194">
        <f t="shared" si="1"/>
        <v>8000000000</v>
      </c>
      <c r="I31" s="190">
        <f>2400*10^9</f>
        <v>2400000000000</v>
      </c>
      <c r="J31" s="36">
        <v>20028312</v>
      </c>
      <c r="K31" t="s">
        <v>401</v>
      </c>
    </row>
    <row r="32" spans="1:15">
      <c r="A32" s="65"/>
      <c r="B32" s="189" t="s">
        <v>427</v>
      </c>
      <c r="C32" s="68">
        <v>13248</v>
      </c>
      <c r="D32" s="235">
        <v>1</v>
      </c>
      <c r="E32" s="424">
        <f>ROUNDUP(D32*'Data entry'!$C$28,0)</f>
        <v>53</v>
      </c>
      <c r="F32" s="425">
        <f>ROUNDUP(D32*'Data entry'!$F$28,0)</f>
        <v>21</v>
      </c>
      <c r="G32" s="252">
        <v>200</v>
      </c>
      <c r="H32" s="194">
        <f t="shared" si="1"/>
        <v>8000000000</v>
      </c>
      <c r="I32" s="190">
        <f>1600*10^9</f>
        <v>1600000000000</v>
      </c>
      <c r="J32" s="36">
        <v>20028313</v>
      </c>
      <c r="K32" t="s">
        <v>401</v>
      </c>
    </row>
    <row r="33" spans="1:11">
      <c r="A33" s="65"/>
      <c r="B33" s="189" t="s">
        <v>428</v>
      </c>
      <c r="C33" s="68">
        <v>9840</v>
      </c>
      <c r="D33" s="235">
        <v>1</v>
      </c>
      <c r="E33" s="424">
        <f>ROUNDUP(D33*'Data entry'!$C$28,0)</f>
        <v>53</v>
      </c>
      <c r="F33" s="425">
        <f>ROUNDUP(D33*'Data entry'!$F$28,0)</f>
        <v>21</v>
      </c>
      <c r="G33" s="252">
        <v>300</v>
      </c>
      <c r="H33" s="194">
        <f t="shared" si="1"/>
        <v>3333333333.3333335</v>
      </c>
      <c r="I33" s="190">
        <f>1000*10^9</f>
        <v>1000000000000</v>
      </c>
      <c r="J33" s="36">
        <v>20028314</v>
      </c>
      <c r="K33" t="s">
        <v>401</v>
      </c>
    </row>
    <row r="34" spans="1:11">
      <c r="A34" s="65"/>
      <c r="B34" s="189" t="s">
        <v>429</v>
      </c>
      <c r="C34" s="68">
        <v>9225</v>
      </c>
      <c r="D34" s="235">
        <v>1</v>
      </c>
      <c r="E34" s="424">
        <f>ROUNDUP(D34*'Data entry'!$C$28,0)</f>
        <v>53</v>
      </c>
      <c r="F34" s="425">
        <f>ROUNDUP(D34*'Data entry'!$F$28,0)</f>
        <v>21</v>
      </c>
      <c r="G34" s="252">
        <v>200</v>
      </c>
      <c r="H34" s="194">
        <f t="shared" si="1"/>
        <v>3335000000</v>
      </c>
      <c r="I34" s="190">
        <f>667*10^9</f>
        <v>667000000000</v>
      </c>
      <c r="J34" s="36">
        <v>20028315</v>
      </c>
      <c r="K34" t="s">
        <v>401</v>
      </c>
    </row>
    <row r="35" spans="1:11">
      <c r="A35" s="65"/>
      <c r="B35" s="189" t="s">
        <v>430</v>
      </c>
      <c r="C35" s="68">
        <v>7431</v>
      </c>
      <c r="D35" s="235">
        <v>1</v>
      </c>
      <c r="E35" s="424">
        <f>ROUNDUP(D35*'Data entry'!$C$28,0)</f>
        <v>53</v>
      </c>
      <c r="F35" s="425">
        <f>ROUNDUP(D35*'Data entry'!$F$28,0)</f>
        <v>21</v>
      </c>
      <c r="G35" s="252">
        <v>100</v>
      </c>
      <c r="H35" s="194">
        <f t="shared" si="1"/>
        <v>3330000000</v>
      </c>
      <c r="I35" s="190">
        <f>333*10^9</f>
        <v>333000000000</v>
      </c>
      <c r="J35" s="36">
        <v>20028316</v>
      </c>
      <c r="K35" t="s">
        <v>401</v>
      </c>
    </row>
    <row r="36" spans="1:11">
      <c r="A36" s="65"/>
      <c r="B36" s="189" t="s">
        <v>431</v>
      </c>
      <c r="C36" s="68">
        <v>5381</v>
      </c>
      <c r="D36" s="235">
        <v>1</v>
      </c>
      <c r="E36" s="424">
        <f>ROUNDUP(D36*'Data entry'!$C$28,0)</f>
        <v>53</v>
      </c>
      <c r="F36" s="425">
        <f>ROUNDUP(D36*'Data entry'!$F$28,0)</f>
        <v>21</v>
      </c>
      <c r="G36" s="252">
        <v>300</v>
      </c>
      <c r="H36" s="194">
        <f t="shared" si="1"/>
        <v>1333333333.3333333</v>
      </c>
      <c r="I36" s="190">
        <f>400*10^9</f>
        <v>400000000000</v>
      </c>
      <c r="J36" s="36">
        <v>20028317</v>
      </c>
      <c r="K36" t="s">
        <v>401</v>
      </c>
    </row>
    <row r="37" spans="1:11">
      <c r="A37" s="65"/>
      <c r="B37" s="189" t="s">
        <v>432</v>
      </c>
      <c r="C37" s="68">
        <v>4971</v>
      </c>
      <c r="D37" s="235">
        <v>1</v>
      </c>
      <c r="E37" s="424">
        <f>ROUNDUP(D37*'Data entry'!$C$28,0)</f>
        <v>53</v>
      </c>
      <c r="F37" s="425">
        <f>ROUNDUP(D37*'Data entry'!$F$28,0)</f>
        <v>21</v>
      </c>
      <c r="G37" s="252">
        <v>200</v>
      </c>
      <c r="H37" s="194">
        <f t="shared" si="1"/>
        <v>1330000000</v>
      </c>
      <c r="I37" s="190">
        <f>266*10^9</f>
        <v>266000000000</v>
      </c>
      <c r="J37" s="36">
        <v>20028318</v>
      </c>
      <c r="K37" t="s">
        <v>401</v>
      </c>
    </row>
    <row r="38" spans="1:11">
      <c r="A38" s="65"/>
      <c r="B38" s="189" t="s">
        <v>433</v>
      </c>
      <c r="C38" s="68">
        <v>3946</v>
      </c>
      <c r="D38" s="235">
        <v>1</v>
      </c>
      <c r="E38" s="424">
        <f>ROUNDUP(D38*'Data entry'!$C$28,0)</f>
        <v>53</v>
      </c>
      <c r="F38" s="425">
        <f>ROUNDUP(D38*'Data entry'!$F$28,0)</f>
        <v>21</v>
      </c>
      <c r="G38" s="252">
        <v>100</v>
      </c>
      <c r="H38" s="194">
        <f t="shared" si="1"/>
        <v>1340000000</v>
      </c>
      <c r="I38" s="190">
        <f>134*10^9</f>
        <v>134000000000</v>
      </c>
      <c r="J38" s="36">
        <v>20028319</v>
      </c>
      <c r="K38" t="s">
        <v>401</v>
      </c>
    </row>
    <row r="39" spans="1:11">
      <c r="A39" s="65"/>
      <c r="B39" s="189" t="s">
        <v>434</v>
      </c>
      <c r="C39" s="68">
        <v>3075</v>
      </c>
      <c r="D39" s="235">
        <v>1</v>
      </c>
      <c r="E39" s="424">
        <f>ROUNDUP(D39*'Data entry'!$C$28,0)</f>
        <v>53</v>
      </c>
      <c r="F39" s="425">
        <f>ROUNDUP(D39*'Data entry'!$F$28,0)</f>
        <v>21</v>
      </c>
      <c r="G39" s="252">
        <v>300</v>
      </c>
      <c r="H39" s="194">
        <f t="shared" si="1"/>
        <v>666666666.66666663</v>
      </c>
      <c r="I39" s="190">
        <f>200*10^9</f>
        <v>200000000000</v>
      </c>
      <c r="J39" s="36">
        <v>20028400</v>
      </c>
      <c r="K39" t="s">
        <v>401</v>
      </c>
    </row>
    <row r="40" spans="1:11">
      <c r="A40" s="65"/>
      <c r="B40" s="189" t="s">
        <v>435</v>
      </c>
      <c r="C40" s="68">
        <v>2153</v>
      </c>
      <c r="D40" s="235">
        <v>1</v>
      </c>
      <c r="E40" s="424">
        <f>ROUNDUP(D40*'Data entry'!$C$28,0)</f>
        <v>53</v>
      </c>
      <c r="F40" s="425">
        <f>ROUNDUP(D40*'Data entry'!$F$28,0)</f>
        <v>21</v>
      </c>
      <c r="G40" s="252">
        <v>100</v>
      </c>
      <c r="H40" s="194">
        <f t="shared" si="1"/>
        <v>650000000</v>
      </c>
      <c r="I40" s="190">
        <f>65*10^9</f>
        <v>65000000000</v>
      </c>
      <c r="J40" s="36">
        <v>20028401</v>
      </c>
      <c r="K40" t="s">
        <v>401</v>
      </c>
    </row>
    <row r="41" spans="1:11">
      <c r="A41" s="65"/>
      <c r="B41" s="189" t="s">
        <v>436</v>
      </c>
      <c r="C41" s="68">
        <v>4305</v>
      </c>
      <c r="D41" s="235">
        <v>1</v>
      </c>
      <c r="E41" s="424">
        <f>ROUNDUP(D41*'Data entry'!$C$28,0)</f>
        <v>53</v>
      </c>
      <c r="F41" s="425">
        <f>ROUNDUP(D41*'Data entry'!$F$28,0)</f>
        <v>21</v>
      </c>
      <c r="G41" s="422">
        <v>500</v>
      </c>
      <c r="H41" s="194">
        <f t="shared" si="1"/>
        <v>650000000</v>
      </c>
      <c r="I41" s="190">
        <f>325*10^9</f>
        <v>325000000000</v>
      </c>
      <c r="J41" s="36">
        <v>20028402</v>
      </c>
      <c r="K41" t="s">
        <v>401</v>
      </c>
    </row>
    <row r="42" spans="1:11">
      <c r="A42" s="65"/>
      <c r="B42" s="345" t="s">
        <v>437</v>
      </c>
      <c r="C42" s="69">
        <v>810</v>
      </c>
      <c r="D42" s="520">
        <f>1/12</f>
        <v>8.3333333333333329E-2</v>
      </c>
      <c r="E42" s="424">
        <f>ROUNDUP(D42*'Data entry'!$C$28,0)</f>
        <v>5</v>
      </c>
      <c r="F42" s="434">
        <f>ROUNDUP(D42*'Data entry'!$F$28,0)</f>
        <v>2</v>
      </c>
      <c r="G42" s="436"/>
      <c r="H42" s="438"/>
      <c r="I42" s="190">
        <f>2.8*10^9</f>
        <v>2800000000</v>
      </c>
      <c r="J42" s="346" t="s">
        <v>438</v>
      </c>
    </row>
    <row r="43" spans="1:11">
      <c r="A43" s="65"/>
      <c r="B43" s="189" t="s">
        <v>439</v>
      </c>
      <c r="C43" s="69">
        <v>700</v>
      </c>
      <c r="D43" s="520">
        <f>1/$L$2</f>
        <v>1</v>
      </c>
      <c r="E43" s="424">
        <f>ROUNDUP(D43*'Data entry'!$C$28,0)</f>
        <v>53</v>
      </c>
      <c r="F43" s="434">
        <f>ROUNDUP(D43*'Data entry'!$F$28,0)</f>
        <v>21</v>
      </c>
      <c r="G43" s="436"/>
      <c r="H43" s="438"/>
      <c r="I43" s="190">
        <f>48*10^9</f>
        <v>48000000000</v>
      </c>
      <c r="J43" s="67" t="s">
        <v>440</v>
      </c>
      <c r="K43" s="8"/>
    </row>
    <row r="44" spans="1:11">
      <c r="A44" s="65"/>
      <c r="B44" s="189" t="s">
        <v>441</v>
      </c>
      <c r="C44" s="69">
        <v>7200</v>
      </c>
      <c r="D44" s="520">
        <f>1/$L$2/12</f>
        <v>8.3333333333333329E-2</v>
      </c>
      <c r="E44" s="424">
        <f>ROUNDUP(D44*'Data entry'!$C$28,0)</f>
        <v>5</v>
      </c>
      <c r="F44" s="434">
        <f>ROUNDUP(D44*'Data entry'!$F$28,0)</f>
        <v>2</v>
      </c>
      <c r="G44" s="436"/>
      <c r="H44" s="438"/>
      <c r="I44" s="190">
        <f t="shared" ref="I44:I52" si="2">48*10^9</f>
        <v>48000000000</v>
      </c>
      <c r="J44" s="67" t="s">
        <v>442</v>
      </c>
    </row>
    <row r="45" spans="1:11">
      <c r="A45" s="65"/>
      <c r="B45" s="189" t="s">
        <v>443</v>
      </c>
      <c r="C45" s="69">
        <v>12000</v>
      </c>
      <c r="D45" s="520">
        <f>1/$L$2/24</f>
        <v>4.1666666666666664E-2</v>
      </c>
      <c r="E45" s="424">
        <f>ROUNDUP(D45*'Data entry'!$C$28,0)</f>
        <v>3</v>
      </c>
      <c r="F45" s="434">
        <f>ROUNDUP(D45*'Data entry'!$F$28,0)</f>
        <v>1</v>
      </c>
      <c r="G45" s="436"/>
      <c r="H45" s="438"/>
      <c r="I45" s="190">
        <f t="shared" si="2"/>
        <v>48000000000</v>
      </c>
      <c r="J45" s="67" t="s">
        <v>444</v>
      </c>
    </row>
    <row r="46" spans="1:11">
      <c r="A46" s="65"/>
      <c r="B46" s="345" t="s">
        <v>445</v>
      </c>
      <c r="C46" s="69">
        <v>22800</v>
      </c>
      <c r="D46" s="520">
        <f>1/$L$2/48</f>
        <v>2.0833333333333332E-2</v>
      </c>
      <c r="E46" s="424">
        <f>ROUNDUP(D46*'Data entry'!$C$28,0)</f>
        <v>2</v>
      </c>
      <c r="F46" s="434">
        <f>ROUNDUP(D46*'Data entry'!$F$28,0)</f>
        <v>1</v>
      </c>
      <c r="G46" s="436"/>
      <c r="H46" s="438"/>
      <c r="I46" s="190">
        <f t="shared" si="2"/>
        <v>48000000000</v>
      </c>
      <c r="J46" s="67" t="s">
        <v>446</v>
      </c>
    </row>
    <row r="47" spans="1:11">
      <c r="A47" s="65"/>
      <c r="B47" s="345" t="s">
        <v>447</v>
      </c>
      <c r="C47" s="69">
        <v>43200</v>
      </c>
      <c r="D47" s="520">
        <f>1/$L$2/96</f>
        <v>1.0416666666666666E-2</v>
      </c>
      <c r="E47" s="424">
        <f>ROUNDUP(D47*'Data entry'!$C$28,0)</f>
        <v>1</v>
      </c>
      <c r="F47" s="434">
        <f>ROUNDUP(D47*'Data entry'!$F$28,0)</f>
        <v>1</v>
      </c>
      <c r="G47" s="436"/>
      <c r="H47" s="438"/>
      <c r="I47" s="190">
        <f t="shared" si="2"/>
        <v>48000000000</v>
      </c>
      <c r="J47" s="67" t="s">
        <v>448</v>
      </c>
    </row>
    <row r="48" spans="1:11">
      <c r="A48" s="352" t="s">
        <v>449</v>
      </c>
      <c r="B48" s="345" t="s">
        <v>450</v>
      </c>
      <c r="C48" s="347">
        <v>700</v>
      </c>
      <c r="D48" s="520">
        <f>1/$L$2</f>
        <v>1</v>
      </c>
      <c r="E48" s="424">
        <f>ROUNDUP(D48*'Data entry'!$C$28,0)</f>
        <v>53</v>
      </c>
      <c r="F48" s="434">
        <f>ROUNDUP(D48*'Data entry'!$F$28,0)</f>
        <v>21</v>
      </c>
      <c r="G48" s="436"/>
      <c r="H48" s="438"/>
      <c r="I48" s="190">
        <f t="shared" si="2"/>
        <v>48000000000</v>
      </c>
      <c r="J48" s="67" t="s">
        <v>451</v>
      </c>
    </row>
    <row r="49" spans="1:11">
      <c r="A49" s="352" t="s">
        <v>449</v>
      </c>
      <c r="B49" s="345" t="s">
        <v>452</v>
      </c>
      <c r="C49" s="347">
        <v>7200</v>
      </c>
      <c r="D49" s="520">
        <f>1/$L$2/12</f>
        <v>8.3333333333333329E-2</v>
      </c>
      <c r="E49" s="424">
        <f>ROUNDUP(D49*'Data entry'!$C$28,0)</f>
        <v>5</v>
      </c>
      <c r="F49" s="434">
        <f>ROUNDUP(D49*'Data entry'!$F$28,0)</f>
        <v>2</v>
      </c>
      <c r="G49" s="436"/>
      <c r="H49" s="438"/>
      <c r="I49" s="190">
        <f t="shared" si="2"/>
        <v>48000000000</v>
      </c>
      <c r="J49" s="67" t="s">
        <v>453</v>
      </c>
    </row>
    <row r="50" spans="1:11">
      <c r="A50" s="352" t="s">
        <v>449</v>
      </c>
      <c r="B50" s="345" t="s">
        <v>454</v>
      </c>
      <c r="C50" s="347">
        <v>12000</v>
      </c>
      <c r="D50" s="520">
        <f>1/$L$2/24</f>
        <v>4.1666666666666664E-2</v>
      </c>
      <c r="E50" s="424">
        <f>ROUNDUP(D50*'Data entry'!$C$28,0)</f>
        <v>3</v>
      </c>
      <c r="F50" s="434">
        <f>ROUNDUP(D50*'Data entry'!$F$28,0)</f>
        <v>1</v>
      </c>
      <c r="G50" s="436"/>
      <c r="H50" s="438"/>
      <c r="I50" s="190">
        <f t="shared" si="2"/>
        <v>48000000000</v>
      </c>
      <c r="J50" s="67" t="s">
        <v>455</v>
      </c>
    </row>
    <row r="51" spans="1:11">
      <c r="A51" s="352" t="s">
        <v>449</v>
      </c>
      <c r="B51" s="345" t="s">
        <v>456</v>
      </c>
      <c r="C51" s="347">
        <v>22800</v>
      </c>
      <c r="D51" s="520">
        <f>1/$L$2/48</f>
        <v>2.0833333333333332E-2</v>
      </c>
      <c r="E51" s="424">
        <f>ROUNDUP(D51*'Data entry'!$C$28,0)</f>
        <v>2</v>
      </c>
      <c r="F51" s="434">
        <f>ROUNDUP(D51*'Data entry'!$F$28,0)</f>
        <v>1</v>
      </c>
      <c r="G51" s="436"/>
      <c r="H51" s="438"/>
      <c r="I51" s="190">
        <f t="shared" si="2"/>
        <v>48000000000</v>
      </c>
      <c r="J51" s="67" t="s">
        <v>457</v>
      </c>
    </row>
    <row r="52" spans="1:11">
      <c r="A52" s="352" t="s">
        <v>449</v>
      </c>
      <c r="B52" s="345" t="s">
        <v>458</v>
      </c>
      <c r="C52" s="347">
        <v>43200</v>
      </c>
      <c r="D52" s="520">
        <f>1/$L$2/96</f>
        <v>1.0416666666666666E-2</v>
      </c>
      <c r="E52" s="424">
        <f>ROUNDUP(D52*'Data entry'!$C$28,0)</f>
        <v>1</v>
      </c>
      <c r="F52" s="434">
        <f>ROUNDUP(D52*'Data entry'!$F$28,0)</f>
        <v>1</v>
      </c>
      <c r="G52" s="436"/>
      <c r="H52" s="438"/>
      <c r="I52" s="190">
        <f t="shared" si="2"/>
        <v>48000000000</v>
      </c>
      <c r="J52" s="67" t="s">
        <v>459</v>
      </c>
    </row>
    <row r="53" spans="1:11">
      <c r="A53" s="65"/>
      <c r="B53" s="345" t="s">
        <v>460</v>
      </c>
      <c r="C53" s="69">
        <v>3600</v>
      </c>
      <c r="D53" s="520">
        <f>1/$L$2/4</f>
        <v>0.25</v>
      </c>
      <c r="E53" s="424">
        <f>ROUNDUP(D53*'Data entry'!$C$28,0)</f>
        <v>14</v>
      </c>
      <c r="F53" s="434">
        <f>ROUNDUP(D53*'Data entry'!$F$28,0)</f>
        <v>6</v>
      </c>
      <c r="G53" s="437"/>
      <c r="H53" s="438"/>
      <c r="I53" s="190">
        <f t="shared" ref="I53:I58" si="3">290*10^9</f>
        <v>290000000000</v>
      </c>
      <c r="J53" s="186" t="s">
        <v>461</v>
      </c>
    </row>
    <row r="54" spans="1:11">
      <c r="A54" s="65"/>
      <c r="B54" s="345" t="s">
        <v>462</v>
      </c>
      <c r="C54" s="69">
        <v>10260</v>
      </c>
      <c r="D54" s="520">
        <f>1/$L$2/12</f>
        <v>8.3333333333333329E-2</v>
      </c>
      <c r="E54" s="424">
        <f>ROUNDUP(D54*'Data entry'!$C$28,0)</f>
        <v>5</v>
      </c>
      <c r="F54" s="434">
        <f>ROUNDUP(D54*'Data entry'!$F$28,0)</f>
        <v>2</v>
      </c>
      <c r="G54" s="437"/>
      <c r="H54" s="438"/>
      <c r="I54" s="190">
        <f t="shared" si="3"/>
        <v>290000000000</v>
      </c>
      <c r="J54" s="186" t="s">
        <v>461</v>
      </c>
    </row>
    <row r="55" spans="1:11">
      <c r="A55" s="65"/>
      <c r="B55" s="345" t="s">
        <v>463</v>
      </c>
      <c r="C55" s="69">
        <v>26240</v>
      </c>
      <c r="D55" s="520">
        <f>1/$L$2/24</f>
        <v>4.1666666666666664E-2</v>
      </c>
      <c r="E55" s="424">
        <f>ROUNDUP(D55*'Data entry'!$C$28,0)</f>
        <v>3</v>
      </c>
      <c r="F55" s="434">
        <f>ROUNDUP(D55*'Data entry'!$F$28,0)</f>
        <v>1</v>
      </c>
      <c r="G55" s="437"/>
      <c r="H55" s="438"/>
      <c r="I55" s="190">
        <f t="shared" si="3"/>
        <v>290000000000</v>
      </c>
      <c r="J55" s="186" t="s">
        <v>461</v>
      </c>
    </row>
    <row r="56" spans="1:11">
      <c r="A56" s="65"/>
      <c r="B56" s="345" t="s">
        <v>464</v>
      </c>
      <c r="C56" s="69">
        <v>3600</v>
      </c>
      <c r="D56" s="520">
        <f>1/$L$2/4</f>
        <v>0.25</v>
      </c>
      <c r="E56" s="424">
        <f>ROUNDUP(D56*'Data entry'!$C$28,0)</f>
        <v>14</v>
      </c>
      <c r="F56" s="434">
        <f>ROUNDUP(D56*'Data entry'!$F$28,0)</f>
        <v>6</v>
      </c>
      <c r="G56" s="437"/>
      <c r="H56" s="438"/>
      <c r="I56" s="190">
        <f t="shared" si="3"/>
        <v>290000000000</v>
      </c>
      <c r="J56" s="186" t="s">
        <v>465</v>
      </c>
    </row>
    <row r="57" spans="1:11">
      <c r="A57" s="65"/>
      <c r="B57" s="345" t="s">
        <v>466</v>
      </c>
      <c r="C57" s="69">
        <v>10260</v>
      </c>
      <c r="D57" s="520">
        <f>1/$L$2/12</f>
        <v>8.3333333333333329E-2</v>
      </c>
      <c r="E57" s="424">
        <f>ROUNDUP(D57*'Data entry'!$C$28,0)</f>
        <v>5</v>
      </c>
      <c r="F57" s="434">
        <f>ROUNDUP(D57*'Data entry'!$F$28,0)</f>
        <v>2</v>
      </c>
      <c r="G57" s="437"/>
      <c r="H57" s="438"/>
      <c r="I57" s="190">
        <f t="shared" si="3"/>
        <v>290000000000</v>
      </c>
      <c r="J57" s="186" t="s">
        <v>465</v>
      </c>
    </row>
    <row r="58" spans="1:11">
      <c r="A58" s="65"/>
      <c r="B58" s="345" t="s">
        <v>467</v>
      </c>
      <c r="C58" s="69">
        <v>26240</v>
      </c>
      <c r="D58" s="520">
        <f>1/$L$2/24</f>
        <v>4.1666666666666664E-2</v>
      </c>
      <c r="E58" s="424">
        <f>ROUNDUP(D58*'Data entry'!$C$28,0)</f>
        <v>3</v>
      </c>
      <c r="F58" s="434">
        <f>ROUNDUP(D58*'Data entry'!$F$28,0)</f>
        <v>1</v>
      </c>
      <c r="G58" s="437"/>
      <c r="H58" s="438"/>
      <c r="I58" s="190">
        <f t="shared" si="3"/>
        <v>290000000000</v>
      </c>
      <c r="J58" s="186" t="s">
        <v>465</v>
      </c>
    </row>
    <row r="59" spans="1:11">
      <c r="A59" s="351" t="s">
        <v>468</v>
      </c>
      <c r="B59" s="349" t="s">
        <v>469</v>
      </c>
      <c r="C59" s="353"/>
      <c r="D59" s="520">
        <f t="shared" ref="D59:D64" si="4">1/8</f>
        <v>0.125</v>
      </c>
      <c r="E59" s="424">
        <f>ROUNDUP(D59*'Data entry'!$C$28,0)</f>
        <v>7</v>
      </c>
      <c r="F59" s="425">
        <f>ROUNDUP(D59*'Data entry'!$F$28,0)</f>
        <v>3</v>
      </c>
      <c r="G59" s="528">
        <v>200</v>
      </c>
      <c r="H59" s="511">
        <f t="shared" ref="H59:H64" si="5">I59/G59</f>
        <v>2500000</v>
      </c>
      <c r="I59" s="512">
        <f>0.5*10^9</f>
        <v>500000000</v>
      </c>
      <c r="J59" s="63" t="s">
        <v>470</v>
      </c>
      <c r="K59" t="s">
        <v>471</v>
      </c>
    </row>
    <row r="60" spans="1:11">
      <c r="A60" s="351"/>
      <c r="B60" s="349" t="s">
        <v>472</v>
      </c>
      <c r="C60" s="353"/>
      <c r="D60" s="520">
        <f t="shared" si="4"/>
        <v>0.125</v>
      </c>
      <c r="E60" s="424">
        <f>ROUNDUP(D60*'Data entry'!$C$28,0)</f>
        <v>7</v>
      </c>
      <c r="F60" s="425">
        <f>ROUNDUP(D60*'Data entry'!$F$28,0)</f>
        <v>3</v>
      </c>
      <c r="G60" s="423">
        <v>400</v>
      </c>
      <c r="H60" s="511">
        <f t="shared" si="5"/>
        <v>5000000</v>
      </c>
      <c r="I60" s="512">
        <f>2*10^9</f>
        <v>2000000000</v>
      </c>
      <c r="J60" s="63" t="s">
        <v>473</v>
      </c>
      <c r="K60" t="s">
        <v>471</v>
      </c>
    </row>
    <row r="61" spans="1:11">
      <c r="A61" s="351"/>
      <c r="B61" s="349" t="s">
        <v>474</v>
      </c>
      <c r="C61" s="187"/>
      <c r="D61" s="520">
        <f t="shared" si="4"/>
        <v>0.125</v>
      </c>
      <c r="E61" s="424">
        <f>ROUNDUP(D61*'Data entry'!$C$28,0)</f>
        <v>7</v>
      </c>
      <c r="F61" s="425">
        <f>ROUNDUP(D61*'Data entry'!$F$28,0)</f>
        <v>3</v>
      </c>
      <c r="G61" s="423">
        <v>400</v>
      </c>
      <c r="H61" s="511">
        <f t="shared" si="5"/>
        <v>20000000</v>
      </c>
      <c r="I61" s="512">
        <f>8*10^9</f>
        <v>8000000000</v>
      </c>
      <c r="J61" s="63" t="s">
        <v>475</v>
      </c>
      <c r="K61" t="s">
        <v>471</v>
      </c>
    </row>
    <row r="62" spans="1:11">
      <c r="A62" s="351" t="s">
        <v>468</v>
      </c>
      <c r="B62" s="349" t="s">
        <v>476</v>
      </c>
      <c r="C62" s="353"/>
      <c r="D62" s="520">
        <f t="shared" si="4"/>
        <v>0.125</v>
      </c>
      <c r="E62" s="424">
        <f>ROUNDUP(D62*'Data entry'!$C$28,0)</f>
        <v>7</v>
      </c>
      <c r="F62" s="425">
        <f>ROUNDUP(D62*'Data entry'!$F$28,0)</f>
        <v>3</v>
      </c>
      <c r="G62" s="423">
        <v>400</v>
      </c>
      <c r="H62" s="511">
        <f t="shared" si="5"/>
        <v>5000000</v>
      </c>
      <c r="I62" s="512">
        <f>2*10^9</f>
        <v>2000000000</v>
      </c>
      <c r="J62" s="63" t="s">
        <v>477</v>
      </c>
      <c r="K62" t="s">
        <v>471</v>
      </c>
    </row>
    <row r="63" spans="1:11">
      <c r="A63" s="351"/>
      <c r="B63" s="349" t="s">
        <v>478</v>
      </c>
      <c r="C63" s="187"/>
      <c r="D63" s="520">
        <f t="shared" si="4"/>
        <v>0.125</v>
      </c>
      <c r="E63" s="424">
        <f>ROUNDUP(D63*'Data entry'!$C$28,0)</f>
        <v>7</v>
      </c>
      <c r="F63" s="425">
        <f>ROUNDUP(D63*'Data entry'!$F$28,0)</f>
        <v>3</v>
      </c>
      <c r="G63" s="423">
        <v>400</v>
      </c>
      <c r="H63" s="511">
        <f t="shared" si="5"/>
        <v>20000000</v>
      </c>
      <c r="I63" s="512">
        <f>8*10^9</f>
        <v>8000000000</v>
      </c>
      <c r="J63" s="63" t="s">
        <v>479</v>
      </c>
      <c r="K63" t="s">
        <v>471</v>
      </c>
    </row>
    <row r="64" spans="1:11">
      <c r="A64" s="351" t="s">
        <v>480</v>
      </c>
      <c r="B64" s="350" t="s">
        <v>481</v>
      </c>
      <c r="C64" s="353"/>
      <c r="D64" s="520">
        <f t="shared" si="4"/>
        <v>0.125</v>
      </c>
      <c r="E64" s="424">
        <f>ROUNDUP(D64*'Data entry'!$C$28,0)</f>
        <v>7</v>
      </c>
      <c r="F64" s="425">
        <f>ROUNDUP(D64*'Data entry'!$F$28,0)</f>
        <v>3</v>
      </c>
      <c r="G64" s="252">
        <v>200</v>
      </c>
      <c r="H64" s="195">
        <f t="shared" si="5"/>
        <v>75000000</v>
      </c>
      <c r="I64" s="354">
        <f>15*10^9</f>
        <v>15000000000</v>
      </c>
      <c r="J64" s="63" t="s">
        <v>482</v>
      </c>
      <c r="K64" t="s">
        <v>471</v>
      </c>
    </row>
    <row r="65" spans="1:10">
      <c r="A65" s="351"/>
      <c r="B65" s="544" t="s">
        <v>483</v>
      </c>
      <c r="C65" s="353"/>
      <c r="D65" s="520">
        <v>1</v>
      </c>
      <c r="E65" s="424">
        <f>ROUNDUP(D65*'Data entry'!$C$28,0)</f>
        <v>53</v>
      </c>
      <c r="F65" s="425">
        <f>ROUNDUP(D65*'Data entry'!$F$28,0)</f>
        <v>21</v>
      </c>
      <c r="G65" s="252">
        <v>300</v>
      </c>
      <c r="H65" s="195">
        <f t="shared" ref="H65:H66" si="6">I65/G65</f>
        <v>25000000</v>
      </c>
      <c r="I65" s="357">
        <f>7500000000</f>
        <v>7500000000</v>
      </c>
      <c r="J65" s="2" t="s">
        <v>484</v>
      </c>
    </row>
    <row r="66" spans="1:10">
      <c r="A66" s="351"/>
      <c r="B66" s="544" t="s">
        <v>485</v>
      </c>
      <c r="C66" s="353"/>
      <c r="D66" s="520">
        <v>1</v>
      </c>
      <c r="E66" s="424">
        <f>ROUNDUP(D66*'Data entry'!$C$28,0)</f>
        <v>53</v>
      </c>
      <c r="F66" s="425">
        <f>ROUNDUP(D66*'Data entry'!$F$28,0)</f>
        <v>21</v>
      </c>
      <c r="G66" s="252">
        <v>300</v>
      </c>
      <c r="H66" s="195">
        <f t="shared" si="6"/>
        <v>20000000</v>
      </c>
      <c r="I66" s="357">
        <f>6000000000</f>
        <v>6000000000</v>
      </c>
      <c r="J66" s="2" t="s">
        <v>486</v>
      </c>
    </row>
    <row r="67" spans="1:10">
      <c r="A67" s="65"/>
      <c r="B67" s="545" t="s">
        <v>487</v>
      </c>
      <c r="C67" s="187"/>
      <c r="D67" s="520">
        <v>1</v>
      </c>
      <c r="E67" s="424">
        <f>ROUNDUP(D67*'Data entry'!$C$28,0)</f>
        <v>53</v>
      </c>
      <c r="F67" s="425">
        <f>ROUNDUP(D67*'Data entry'!$F$28,0)</f>
        <v>21</v>
      </c>
      <c r="G67" s="423">
        <v>100</v>
      </c>
      <c r="H67" s="195">
        <f>I67/G67</f>
        <v>80000000</v>
      </c>
      <c r="I67" s="355">
        <f>8*10^9</f>
        <v>8000000000</v>
      </c>
      <c r="J67" s="487" t="s">
        <v>488</v>
      </c>
    </row>
    <row r="68" spans="1:10">
      <c r="A68" s="65"/>
      <c r="B68" s="545" t="s">
        <v>489</v>
      </c>
      <c r="C68" s="187"/>
      <c r="D68" s="520">
        <v>1</v>
      </c>
      <c r="E68" s="424">
        <f>ROUNDUP(D68*'Data entry'!$C$28,0)</f>
        <v>53</v>
      </c>
      <c r="F68" s="425">
        <f>ROUNDUP(D68*'Data entry'!$F$28,0)</f>
        <v>21</v>
      </c>
      <c r="G68" s="423">
        <v>300</v>
      </c>
      <c r="H68" s="195">
        <f t="shared" ref="H68:H69" si="7">I68/G68</f>
        <v>80000000</v>
      </c>
      <c r="I68" s="356">
        <f>24*10^9</f>
        <v>24000000000</v>
      </c>
      <c r="J68" s="487" t="s">
        <v>490</v>
      </c>
    </row>
    <row r="69" spans="1:10">
      <c r="A69" s="65"/>
      <c r="B69" s="545" t="s">
        <v>491</v>
      </c>
      <c r="C69" s="187"/>
      <c r="D69" s="520">
        <v>1</v>
      </c>
      <c r="E69" s="424">
        <f>ROUNDUP(D69*'Data entry'!$C$28,0)</f>
        <v>53</v>
      </c>
      <c r="F69" s="425">
        <f>ROUNDUP(D69*'Data entry'!$F$28,0)</f>
        <v>21</v>
      </c>
      <c r="G69" s="423">
        <v>300</v>
      </c>
      <c r="H69" s="195">
        <f t="shared" si="7"/>
        <v>80000000</v>
      </c>
      <c r="I69" s="356">
        <f>24*10^9</f>
        <v>24000000000</v>
      </c>
      <c r="J69" s="487" t="s">
        <v>492</v>
      </c>
    </row>
    <row r="70" spans="1:10">
      <c r="A70" s="65" t="s">
        <v>493</v>
      </c>
      <c r="B70" s="545" t="s">
        <v>494</v>
      </c>
      <c r="C70" s="187"/>
      <c r="D70" s="520">
        <v>1</v>
      </c>
      <c r="E70" s="424">
        <f>ROUNDUP(D70*'Data entry'!$C$28,0)</f>
        <v>53</v>
      </c>
      <c r="F70" s="425">
        <f>ROUNDUP(D70*'Data entry'!$F$28,0)</f>
        <v>21</v>
      </c>
      <c r="G70" s="423">
        <v>600</v>
      </c>
      <c r="H70" s="195">
        <f t="shared" ref="H70:H82" si="8">I70/G70</f>
        <v>80000000</v>
      </c>
      <c r="I70" s="355">
        <f>48*10^9</f>
        <v>48000000000</v>
      </c>
      <c r="J70" s="487" t="s">
        <v>495</v>
      </c>
    </row>
    <row r="71" spans="1:10">
      <c r="A71" s="65" t="s">
        <v>496</v>
      </c>
      <c r="B71" s="545" t="s">
        <v>497</v>
      </c>
      <c r="C71" s="187"/>
      <c r="D71" s="520">
        <v>1</v>
      </c>
      <c r="E71" s="424">
        <f>ROUNDUP(D71*'Data entry'!$C$28,0)</f>
        <v>53</v>
      </c>
      <c r="F71" s="425">
        <f>ROUNDUP(D71*'Data entry'!$F$28,0)</f>
        <v>21</v>
      </c>
      <c r="G71" s="576">
        <v>300</v>
      </c>
      <c r="H71" s="540">
        <f t="shared" si="8"/>
        <v>40000000</v>
      </c>
      <c r="I71" s="539">
        <f>12*10^9</f>
        <v>12000000000</v>
      </c>
      <c r="J71" s="487" t="s">
        <v>498</v>
      </c>
    </row>
    <row r="72" spans="1:10">
      <c r="A72" s="65"/>
      <c r="B72" s="545" t="s">
        <v>499</v>
      </c>
      <c r="C72" s="187"/>
      <c r="D72" s="520">
        <v>1</v>
      </c>
      <c r="E72" s="424">
        <f>ROUNDUP(D72*'Data entry'!$C$28,0)</f>
        <v>53</v>
      </c>
      <c r="F72" s="425">
        <f>ROUNDUP(D72*'Data entry'!$F$28,0)</f>
        <v>21</v>
      </c>
      <c r="G72" s="423">
        <v>200</v>
      </c>
      <c r="H72" s="195">
        <f t="shared" si="8"/>
        <v>500000000</v>
      </c>
      <c r="I72" s="355">
        <f>100*10^9</f>
        <v>100000000000</v>
      </c>
      <c r="J72" s="2" t="s">
        <v>500</v>
      </c>
    </row>
    <row r="73" spans="1:10">
      <c r="A73" s="65"/>
      <c r="B73" s="545" t="s">
        <v>501</v>
      </c>
      <c r="C73" s="187"/>
      <c r="D73" s="520">
        <v>1</v>
      </c>
      <c r="E73" s="424">
        <f>ROUNDUP(D73*'Data entry'!$C$28,0)</f>
        <v>53</v>
      </c>
      <c r="F73" s="425">
        <f>ROUNDUP(D73*'Data entry'!$F$28,0)</f>
        <v>21</v>
      </c>
      <c r="G73" s="252">
        <v>300</v>
      </c>
      <c r="H73" s="195">
        <f t="shared" si="8"/>
        <v>500000000</v>
      </c>
      <c r="I73" s="355">
        <f>150*10^9</f>
        <v>150000000000</v>
      </c>
      <c r="J73" s="2" t="s">
        <v>502</v>
      </c>
    </row>
    <row r="74" spans="1:10">
      <c r="A74" s="65"/>
      <c r="B74" s="545" t="s">
        <v>503</v>
      </c>
      <c r="C74" s="187"/>
      <c r="D74" s="520">
        <v>1</v>
      </c>
      <c r="E74" s="424">
        <f>ROUNDUP(D74*'Data entry'!$C$28,0)</f>
        <v>53</v>
      </c>
      <c r="F74" s="425">
        <f>ROUNDUP(D74*'Data entry'!$F$28,0)</f>
        <v>21</v>
      </c>
      <c r="G74" s="252">
        <v>200</v>
      </c>
      <c r="H74" s="195">
        <f t="shared" si="8"/>
        <v>100000000</v>
      </c>
      <c r="I74" s="355">
        <f>20*10^9</f>
        <v>20000000000</v>
      </c>
      <c r="J74" s="2" t="s">
        <v>504</v>
      </c>
    </row>
    <row r="75" spans="1:10">
      <c r="A75" s="65"/>
      <c r="B75" s="545" t="s">
        <v>505</v>
      </c>
      <c r="C75" s="187"/>
      <c r="D75" s="520">
        <v>1</v>
      </c>
      <c r="E75" s="424">
        <f>ROUNDUP(D75*'Data entry'!$C$28,0)</f>
        <v>53</v>
      </c>
      <c r="F75" s="425">
        <f>ROUNDUP(D75*'Data entry'!$F$28,0)</f>
        <v>21</v>
      </c>
      <c r="G75" s="252">
        <v>300</v>
      </c>
      <c r="H75" s="540">
        <f t="shared" si="8"/>
        <v>100000000</v>
      </c>
      <c r="I75" s="539">
        <f>30*10^9</f>
        <v>30000000000</v>
      </c>
      <c r="J75" s="2" t="s">
        <v>506</v>
      </c>
    </row>
    <row r="76" spans="1:10">
      <c r="A76" s="65"/>
      <c r="B76" s="544" t="s">
        <v>507</v>
      </c>
      <c r="C76" s="187"/>
      <c r="D76" s="520">
        <v>1</v>
      </c>
      <c r="E76" s="424">
        <f>ROUNDUP(D76*'Data entry'!$C$28,0)</f>
        <v>53</v>
      </c>
      <c r="F76" s="425">
        <f>ROUNDUP(D76*'Data entry'!$F$28,0)</f>
        <v>21</v>
      </c>
      <c r="G76" s="252">
        <v>200</v>
      </c>
      <c r="H76" s="195">
        <f t="shared" si="8"/>
        <v>1500000000</v>
      </c>
      <c r="I76" s="355">
        <f>300*10^9</f>
        <v>300000000000</v>
      </c>
      <c r="J76" s="359">
        <v>1000016950</v>
      </c>
    </row>
    <row r="77" spans="1:10" s="8" customFormat="1">
      <c r="A77" s="358"/>
      <c r="B77" s="544" t="s">
        <v>508</v>
      </c>
      <c r="C77" s="353"/>
      <c r="D77" s="520">
        <v>1</v>
      </c>
      <c r="E77" s="424">
        <f>ROUNDUP(D77*'Data entry'!$C$28,0)</f>
        <v>53</v>
      </c>
      <c r="F77" s="425">
        <f>ROUNDUP(D77*'Data entry'!$F$28,0)</f>
        <v>21</v>
      </c>
      <c r="G77" s="423">
        <v>300</v>
      </c>
      <c r="H77" s="195">
        <f t="shared" si="8"/>
        <v>1500000000</v>
      </c>
      <c r="I77" s="355">
        <f>450*10^9</f>
        <v>450000000000</v>
      </c>
      <c r="J77" s="359">
        <v>1000016952</v>
      </c>
    </row>
    <row r="78" spans="1:10" s="8" customFormat="1">
      <c r="A78" s="358"/>
      <c r="B78" s="567" t="s">
        <v>509</v>
      </c>
      <c r="C78" s="353"/>
      <c r="D78" s="520">
        <v>1</v>
      </c>
      <c r="E78" s="424">
        <f>ROUNDUP(D78*'Data entry'!$C$28,0)</f>
        <v>53</v>
      </c>
      <c r="F78" s="425">
        <f>ROUNDUP(D78*'Data entry'!$F$28,0)</f>
        <v>21</v>
      </c>
      <c r="G78" s="576">
        <v>300</v>
      </c>
      <c r="H78" s="540">
        <f t="shared" si="8"/>
        <v>550000000</v>
      </c>
      <c r="I78" s="539">
        <f>165*10^9</f>
        <v>165000000000</v>
      </c>
      <c r="J78" s="570" t="s">
        <v>510</v>
      </c>
    </row>
    <row r="79" spans="1:10" s="8" customFormat="1">
      <c r="A79" s="358"/>
      <c r="B79" s="567" t="s">
        <v>511</v>
      </c>
      <c r="C79" s="353"/>
      <c r="D79" s="520">
        <v>1</v>
      </c>
      <c r="E79" s="424">
        <f>ROUNDUP(D79*'Data entry'!$C$28,0)</f>
        <v>53</v>
      </c>
      <c r="F79" s="425">
        <f>ROUNDUP(D79*'Data entry'!$F$28,0)</f>
        <v>21</v>
      </c>
      <c r="G79" s="576">
        <v>200</v>
      </c>
      <c r="H79" s="540">
        <f t="shared" si="8"/>
        <v>550000000</v>
      </c>
      <c r="I79" s="539">
        <f>110*10^9</f>
        <v>110000000000</v>
      </c>
      <c r="J79" s="570" t="s">
        <v>512</v>
      </c>
    </row>
    <row r="80" spans="1:10" s="8" customFormat="1">
      <c r="A80" s="560"/>
      <c r="B80" s="568" t="s">
        <v>513</v>
      </c>
      <c r="C80" s="561"/>
      <c r="D80" s="562">
        <v>1</v>
      </c>
      <c r="E80" s="563">
        <f>ROUNDUP(D80*'Data entry'!$C$28,0)</f>
        <v>53</v>
      </c>
      <c r="F80" s="564">
        <f>ROUNDUP(D80*'Data entry'!$F$28,0)</f>
        <v>21</v>
      </c>
      <c r="G80" s="577">
        <v>200</v>
      </c>
      <c r="H80" s="578">
        <f t="shared" si="8"/>
        <v>1800000000</v>
      </c>
      <c r="I80" s="579">
        <f>360*10^9</f>
        <v>360000000000</v>
      </c>
      <c r="J80" s="571" t="s">
        <v>514</v>
      </c>
    </row>
    <row r="81" spans="1:13" s="8" customFormat="1">
      <c r="A81" s="560"/>
      <c r="B81" s="545" t="s">
        <v>515</v>
      </c>
      <c r="C81" s="574"/>
      <c r="D81" s="562">
        <v>1</v>
      </c>
      <c r="E81" s="425">
        <f>ROUNDUP(D81*'Data entry'!$C$28,0)</f>
        <v>53</v>
      </c>
      <c r="F81" s="425">
        <f>ROUNDUP(D81*'Data entry'!$F$28,0)</f>
        <v>21</v>
      </c>
      <c r="G81" s="487">
        <v>300</v>
      </c>
      <c r="H81" s="580">
        <f t="shared" si="8"/>
        <v>1800000000</v>
      </c>
      <c r="I81" s="465">
        <f>540*10^9</f>
        <v>540000000000</v>
      </c>
      <c r="J81" s="487" t="s">
        <v>516</v>
      </c>
    </row>
    <row r="82" spans="1:13">
      <c r="A82" s="560"/>
      <c r="B82" s="545" t="s">
        <v>517</v>
      </c>
      <c r="C82" s="575"/>
      <c r="D82" s="562">
        <v>1</v>
      </c>
      <c r="E82" s="425">
        <f>ROUNDUP(D82*'Data entry'!$C$28,0)</f>
        <v>53</v>
      </c>
      <c r="F82" s="425">
        <f>ROUNDUP(D82*'Data entry'!$F$28,0)</f>
        <v>21</v>
      </c>
      <c r="G82" s="487">
        <v>300</v>
      </c>
      <c r="H82" s="580">
        <f t="shared" si="8"/>
        <v>550000000</v>
      </c>
      <c r="I82" s="465">
        <f>165*10^9</f>
        <v>165000000000</v>
      </c>
      <c r="J82" s="487" t="s">
        <v>518</v>
      </c>
    </row>
    <row r="83" spans="1:13">
      <c r="A83" s="565"/>
      <c r="B83" s="569" t="s">
        <v>519</v>
      </c>
      <c r="C83" s="566"/>
      <c r="D83" s="573">
        <v>1</v>
      </c>
      <c r="E83" s="425">
        <f>ROUNDUP(D83*'Data entry'!$C$28,0)</f>
        <v>53</v>
      </c>
      <c r="F83" s="425">
        <f>ROUNDUP(D83*'Data entry'!$F$28,0)</f>
        <v>21</v>
      </c>
      <c r="G83" s="487">
        <v>200</v>
      </c>
      <c r="H83" s="580">
        <f>I83/G83</f>
        <v>550000000</v>
      </c>
      <c r="I83" s="465">
        <f>110*10^9</f>
        <v>110000000000</v>
      </c>
      <c r="J83" s="572" t="s">
        <v>520</v>
      </c>
    </row>
    <row r="86" spans="1:13">
      <c r="K86" s="66"/>
      <c r="L86" s="13"/>
      <c r="M86" s="66"/>
    </row>
    <row r="87" spans="1:13">
      <c r="K87" s="66"/>
      <c r="L87" s="13"/>
      <c r="M87" s="66"/>
    </row>
    <row r="88" spans="1:13">
      <c r="G88" s="267" t="s">
        <v>521</v>
      </c>
      <c r="H88" s="267" t="s">
        <v>522</v>
      </c>
      <c r="K88" s="66"/>
      <c r="L88" s="13"/>
      <c r="M88" s="66"/>
    </row>
    <row r="89" spans="1:13">
      <c r="F89" s="70" t="s">
        <v>523</v>
      </c>
      <c r="G89" s="70">
        <f>'Data entry'!$C$16+'Data entry'!$C$16*'Data entry'!$C$23</f>
        <v>525</v>
      </c>
      <c r="H89" s="70">
        <f>'Data entry'!$F$16+'Data entry'!$F$16*'Data entry'!$F$23</f>
        <v>306</v>
      </c>
      <c r="J89" s="373">
        <f>Annex2_Equipment!E2</f>
        <v>5000</v>
      </c>
      <c r="K89" t="s">
        <v>524</v>
      </c>
      <c r="L89" s="13"/>
      <c r="M89" s="66"/>
    </row>
    <row r="90" spans="1:13">
      <c r="B90" s="435" t="s">
        <v>525</v>
      </c>
      <c r="F90" s="70" t="s">
        <v>526</v>
      </c>
      <c r="G90" s="70">
        <f>'Data entry'!$C$28</f>
        <v>53</v>
      </c>
      <c r="H90" s="70">
        <f>'Data entry'!$F$28</f>
        <v>21</v>
      </c>
    </row>
    <row r="91" spans="1:13">
      <c r="B91" s="256" t="s">
        <v>527</v>
      </c>
      <c r="F91" s="70" t="s">
        <v>528</v>
      </c>
      <c r="G91" s="70">
        <f>'Data entry'!$C$27*'Data entry'!$C$28</f>
        <v>106</v>
      </c>
      <c r="H91" s="70">
        <f>'Data entry'!$F$27*'Data entry'!$F$28</f>
        <v>42</v>
      </c>
    </row>
    <row r="92" spans="1:13" ht="15.6">
      <c r="B92" s="241" t="s">
        <v>529</v>
      </c>
      <c r="C92" s="241" t="s">
        <v>7</v>
      </c>
      <c r="D92" s="244" t="s">
        <v>92</v>
      </c>
      <c r="E92" s="244" t="s">
        <v>530</v>
      </c>
      <c r="F92" s="245" t="s">
        <v>531</v>
      </c>
      <c r="G92" s="369" t="s">
        <v>532</v>
      </c>
      <c r="H92" s="370" t="s">
        <v>533</v>
      </c>
      <c r="I92" s="370" t="s">
        <v>534</v>
      </c>
      <c r="J92" s="371" t="s">
        <v>535</v>
      </c>
    </row>
    <row r="93" spans="1:13" ht="37.799999999999997">
      <c r="B93" s="2" t="str">
        <f>Language!$B$455</f>
        <v>Consumable</v>
      </c>
      <c r="C93" s="10" t="str">
        <f>Language!B290</f>
        <v>Viral transport media sampling kits with 10 ml tubes and swabs (50-pck)</v>
      </c>
      <c r="D93" s="11">
        <v>50</v>
      </c>
      <c r="E93" s="11"/>
      <c r="F93" s="27">
        <v>1</v>
      </c>
      <c r="G93" s="206">
        <f>ROUNDUP((($F93*($G$89+$G$91))/$D93),0)</f>
        <v>13</v>
      </c>
      <c r="H93" s="206">
        <f>ROUNDUP((($F93*($H$89+$H$91))/$D93),0)</f>
        <v>7</v>
      </c>
      <c r="I93" s="2">
        <f>G93+H93</f>
        <v>20</v>
      </c>
      <c r="J93" s="282">
        <v>78</v>
      </c>
    </row>
    <row r="94" spans="1:13" ht="37.799999999999997">
      <c r="B94" s="2" t="str">
        <f>Language!$B$455</f>
        <v>Consumable</v>
      </c>
      <c r="C94" s="10" t="str">
        <f>Language!B291</f>
        <v>Specimen transport packaging (ambient) (150-pck)</v>
      </c>
      <c r="D94" s="11">
        <v>150</v>
      </c>
      <c r="E94" s="11"/>
      <c r="F94" s="27">
        <v>1</v>
      </c>
      <c r="G94" s="206">
        <f>ROUNDUP((($F94*($G$89+$G$91))/$D94),0)</f>
        <v>5</v>
      </c>
      <c r="H94" s="206">
        <f>ROUNDUP((($F94*($H$89+$H$91))/$D94),0)</f>
        <v>3</v>
      </c>
      <c r="I94" s="2">
        <f t="shared" ref="I94:I129" si="9">G94+H94</f>
        <v>8</v>
      </c>
      <c r="J94" s="282">
        <v>472.67999999999995</v>
      </c>
    </row>
    <row r="95" spans="1:13" ht="25.5">
      <c r="B95" s="2" t="str">
        <f>Language!$B$455</f>
        <v>Consumable</v>
      </c>
      <c r="C95" s="10" t="str">
        <f>Language!B292</f>
        <v>Specimen transport packaging (2–8C) (150-pck)</v>
      </c>
      <c r="D95" s="11">
        <v>150</v>
      </c>
      <c r="E95" s="11"/>
      <c r="F95" s="27">
        <v>1</v>
      </c>
      <c r="G95" s="206">
        <f>ROUNDUP((($F95*($G$89+$G$91))/$D95),0)</f>
        <v>5</v>
      </c>
      <c r="H95" s="206">
        <f>ROUNDUP((($F95*($H$89+$H$91))/$D95),0)</f>
        <v>3</v>
      </c>
      <c r="I95" s="2">
        <f t="shared" si="9"/>
        <v>8</v>
      </c>
      <c r="J95" s="282">
        <v>472.67999999999995</v>
      </c>
    </row>
    <row r="96" spans="1:13" ht="25.5">
      <c r="B96" s="2" t="str">
        <f>Language!$B$455</f>
        <v>Consumable</v>
      </c>
      <c r="C96" s="10" t="str">
        <f>Language!B293</f>
        <v>Specimen transport packaging (-20C) (150-pck)</v>
      </c>
      <c r="D96" s="11">
        <v>150</v>
      </c>
      <c r="E96" s="11"/>
      <c r="F96" s="27">
        <v>1</v>
      </c>
      <c r="G96" s="206">
        <f>ROUNDUP((($F96*($G$89+$G$91))/$D96),0)</f>
        <v>5</v>
      </c>
      <c r="H96" s="206">
        <f>ROUNDUP((($F96*($H$89+$H$91))/$D96),0)</f>
        <v>3</v>
      </c>
      <c r="I96" s="2">
        <f t="shared" si="9"/>
        <v>8</v>
      </c>
      <c r="J96" s="282">
        <v>472.67999999999995</v>
      </c>
    </row>
    <row r="97" spans="1:21">
      <c r="B97" s="2" t="str">
        <f>Language!$B$455</f>
        <v>Consumable</v>
      </c>
      <c r="C97" s="10" t="str">
        <f>Language!B294</f>
        <v>Cold packs (24-pck)</v>
      </c>
      <c r="D97" s="11">
        <v>24</v>
      </c>
      <c r="E97" s="11"/>
      <c r="F97" s="27"/>
      <c r="G97" s="206">
        <f>IF(SUM(G89:H89)&gt;=J89,2,1)</f>
        <v>1</v>
      </c>
      <c r="H97" s="206">
        <f>IF(SUM(G89:H89)&gt;=J89,2,1)</f>
        <v>1</v>
      </c>
      <c r="I97" s="2">
        <f t="shared" si="9"/>
        <v>2</v>
      </c>
      <c r="J97" s="282">
        <v>179.66399999999999</v>
      </c>
    </row>
    <row r="98" spans="1:21" ht="25.5">
      <c r="B98" s="2" t="str">
        <f>Language!$B$455</f>
        <v>Consumable</v>
      </c>
      <c r="C98" s="10" t="str">
        <f>Language!B295</f>
        <v>PCR plates (10/pack) 96-well reaction plate</v>
      </c>
      <c r="D98" s="30">
        <v>10</v>
      </c>
      <c r="E98" s="30"/>
      <c r="F98" s="27"/>
      <c r="G98" s="447">
        <f>ROUNDUP($G$90/$D98,0)</f>
        <v>6</v>
      </c>
      <c r="H98" s="447">
        <f>ROUNDUP($H$90/$D98,0)</f>
        <v>3</v>
      </c>
      <c r="I98" s="2">
        <f t="shared" si="9"/>
        <v>9</v>
      </c>
      <c r="J98" s="282">
        <v>33.167999999999999</v>
      </c>
      <c r="S98" t="s">
        <v>536</v>
      </c>
    </row>
    <row r="99" spans="1:21" ht="25.5">
      <c r="B99" s="2" t="str">
        <f>Language!$B$455</f>
        <v>Consumable</v>
      </c>
      <c r="C99" s="10" t="str">
        <f>Language!B296</f>
        <v>PCR plate covers adhesive film (1 cover per plate)</v>
      </c>
      <c r="D99" s="30">
        <v>100</v>
      </c>
      <c r="E99" s="30"/>
      <c r="F99" s="27"/>
      <c r="G99" s="447">
        <f>ROUNDUP($G$90/$D99,0)</f>
        <v>1</v>
      </c>
      <c r="H99" s="447">
        <f>ROUNDUP($H$90/$D99,0)</f>
        <v>1</v>
      </c>
      <c r="I99" s="2">
        <f t="shared" si="9"/>
        <v>2</v>
      </c>
      <c r="J99" s="282">
        <v>141.58799999999999</v>
      </c>
      <c r="S99" s="70" t="s">
        <v>537</v>
      </c>
      <c r="T99" s="70" t="s">
        <v>538</v>
      </c>
      <c r="U99" s="70" t="s">
        <v>539</v>
      </c>
    </row>
    <row r="100" spans="1:21" ht="25.5">
      <c r="B100" s="2" t="str">
        <f>Language!$B$455</f>
        <v>Consumable</v>
      </c>
      <c r="C100" s="10" t="str">
        <f>Language!B297</f>
        <v>Pipette filter tips 10uL (96 tips x 10 racks)</v>
      </c>
      <c r="D100" s="30">
        <v>960</v>
      </c>
      <c r="E100" s="30"/>
      <c r="F100" s="27">
        <v>8</v>
      </c>
      <c r="G100" s="206">
        <f t="shared" ref="G100:G108" si="10">ROUNDUP((($F100*($G$89+$G$91))/$D100),0)</f>
        <v>6</v>
      </c>
      <c r="H100" s="206">
        <f t="shared" ref="H100:H108" si="11">ROUNDUP((($F100*($H$89+$H$91))/$D100),0)</f>
        <v>3</v>
      </c>
      <c r="I100" s="2">
        <f t="shared" si="9"/>
        <v>9</v>
      </c>
      <c r="J100" s="282">
        <v>184.79999999999998</v>
      </c>
      <c r="S100" s="70" t="s">
        <v>540</v>
      </c>
      <c r="T100" s="70">
        <v>810</v>
      </c>
      <c r="U100" s="70">
        <v>96</v>
      </c>
    </row>
    <row r="101" spans="1:21" ht="25.5">
      <c r="B101" s="2" t="str">
        <f>Language!$B$455</f>
        <v>Consumable</v>
      </c>
      <c r="C101" s="10" t="str">
        <f>Language!B298</f>
        <v>Pipette filter tips 100µL, sterile (pack of 960)</v>
      </c>
      <c r="D101" s="31">
        <v>960</v>
      </c>
      <c r="E101" s="31"/>
      <c r="F101" s="27">
        <v>5</v>
      </c>
      <c r="G101" s="206">
        <f t="shared" si="10"/>
        <v>4</v>
      </c>
      <c r="H101" s="206">
        <f t="shared" si="11"/>
        <v>2</v>
      </c>
      <c r="I101" s="2">
        <f t="shared" si="9"/>
        <v>6</v>
      </c>
      <c r="J101" s="282">
        <v>255</v>
      </c>
      <c r="S101" s="70" t="s">
        <v>541</v>
      </c>
      <c r="T101" s="70">
        <v>948</v>
      </c>
      <c r="U101" s="70">
        <v>96</v>
      </c>
    </row>
    <row r="102" spans="1:21" ht="25.5">
      <c r="B102" s="2" t="str">
        <f>Language!$B$455</f>
        <v>Consumable</v>
      </c>
      <c r="C102" s="10" t="str">
        <f>Language!B299</f>
        <v>Pipette filter tips 200uL  (96 tips x 10 racks)</v>
      </c>
      <c r="D102" s="30">
        <v>960</v>
      </c>
      <c r="E102" s="30"/>
      <c r="F102" s="27">
        <v>8</v>
      </c>
      <c r="G102" s="206">
        <f t="shared" si="10"/>
        <v>6</v>
      </c>
      <c r="H102" s="206">
        <f t="shared" si="11"/>
        <v>3</v>
      </c>
      <c r="I102" s="2">
        <f t="shared" si="9"/>
        <v>9</v>
      </c>
      <c r="J102" s="282">
        <v>56.4</v>
      </c>
      <c r="S102" s="70" t="s">
        <v>542</v>
      </c>
      <c r="T102" s="70">
        <v>234</v>
      </c>
      <c r="U102" s="70">
        <v>96</v>
      </c>
    </row>
    <row r="103" spans="1:21" ht="25.5">
      <c r="B103" s="2" t="str">
        <f>Language!$B$455</f>
        <v>Consumable</v>
      </c>
      <c r="C103" s="10" t="str">
        <f>Language!B300</f>
        <v>Pipette filter tips 1000uL  (96 tips x 10 racks)</v>
      </c>
      <c r="D103" s="30">
        <v>960</v>
      </c>
      <c r="E103" s="30"/>
      <c r="F103" s="27">
        <v>5</v>
      </c>
      <c r="G103" s="206">
        <f t="shared" si="10"/>
        <v>4</v>
      </c>
      <c r="H103" s="206">
        <f t="shared" si="11"/>
        <v>2</v>
      </c>
      <c r="I103" s="2">
        <f t="shared" si="9"/>
        <v>6</v>
      </c>
      <c r="J103" s="282">
        <v>163.19999999999999</v>
      </c>
      <c r="S103" s="70" t="s">
        <v>543</v>
      </c>
      <c r="T103" s="70">
        <v>60</v>
      </c>
      <c r="U103" s="70">
        <v>96</v>
      </c>
    </row>
    <row r="104" spans="1:21" ht="25.5">
      <c r="B104" s="2" t="str">
        <f>Language!$B$455</f>
        <v>Consumable</v>
      </c>
      <c r="C104" s="10" t="str">
        <f>Language!B301</f>
        <v>0.2mL PCR tubes, thin-walled (1000; strips)</v>
      </c>
      <c r="D104" s="30">
        <v>1000</v>
      </c>
      <c r="E104" s="30"/>
      <c r="F104" s="27">
        <v>6</v>
      </c>
      <c r="G104" s="206">
        <f t="shared" si="10"/>
        <v>4</v>
      </c>
      <c r="H104" s="206">
        <f t="shared" si="11"/>
        <v>3</v>
      </c>
      <c r="I104" s="2">
        <f t="shared" si="9"/>
        <v>7</v>
      </c>
      <c r="J104" s="282">
        <v>145.19999999999999</v>
      </c>
      <c r="M104" s="9"/>
    </row>
    <row r="105" spans="1:21" ht="25.5">
      <c r="B105" s="2" t="str">
        <f>Language!$B$455</f>
        <v>Consumable</v>
      </c>
      <c r="C105" s="10" t="str">
        <f>Language!B302</f>
        <v>1.5mL PCR tubes, LoBind (250)</v>
      </c>
      <c r="D105" s="30">
        <v>250</v>
      </c>
      <c r="E105" s="30"/>
      <c r="F105" s="27">
        <v>2</v>
      </c>
      <c r="G105" s="206">
        <f t="shared" si="10"/>
        <v>6</v>
      </c>
      <c r="H105" s="206">
        <f t="shared" si="11"/>
        <v>3</v>
      </c>
      <c r="I105" s="2">
        <f t="shared" si="9"/>
        <v>9</v>
      </c>
      <c r="J105" s="282">
        <v>13.2</v>
      </c>
      <c r="M105" s="9"/>
    </row>
    <row r="106" spans="1:21">
      <c r="B106" s="2" t="str">
        <f>Language!$B$455</f>
        <v>Consumable</v>
      </c>
      <c r="C106" s="10" t="str">
        <f>Language!B303</f>
        <v>50mL conical tubes (100)</v>
      </c>
      <c r="D106" s="30">
        <v>100</v>
      </c>
      <c r="E106" s="30"/>
      <c r="F106" s="27">
        <v>0.5</v>
      </c>
      <c r="G106" s="206">
        <f t="shared" si="10"/>
        <v>4</v>
      </c>
      <c r="H106" s="206">
        <f t="shared" si="11"/>
        <v>2</v>
      </c>
      <c r="I106" s="2">
        <f t="shared" si="9"/>
        <v>6</v>
      </c>
      <c r="J106" s="282">
        <v>160.79999999999998</v>
      </c>
    </row>
    <row r="107" spans="1:21" ht="25.5">
      <c r="B107" s="2" t="str">
        <f>Language!$B$455</f>
        <v>Consumable</v>
      </c>
      <c r="C107" s="10" t="str">
        <f>Language!B304</f>
        <v>Conical centrifuge tubes 15mL (packs of 500)</v>
      </c>
      <c r="D107" s="32">
        <v>500</v>
      </c>
      <c r="E107" s="32"/>
      <c r="F107" s="27">
        <v>1</v>
      </c>
      <c r="G107" s="206">
        <f t="shared" si="10"/>
        <v>2</v>
      </c>
      <c r="H107" s="206">
        <f t="shared" si="11"/>
        <v>1</v>
      </c>
      <c r="I107" s="2">
        <f t="shared" si="9"/>
        <v>3</v>
      </c>
      <c r="J107" s="282">
        <v>207.6</v>
      </c>
    </row>
    <row r="108" spans="1:21" ht="25.5">
      <c r="B108" s="2" t="str">
        <f>Language!$B$455</f>
        <v>Consumable</v>
      </c>
      <c r="C108" s="10" t="str">
        <f>Language!B305</f>
        <v>Heat sealing film foil (pack of 100)</v>
      </c>
      <c r="D108" s="33">
        <v>100</v>
      </c>
      <c r="E108" s="33"/>
      <c r="F108" s="27">
        <f>1/60</f>
        <v>1.6666666666666666E-2</v>
      </c>
      <c r="G108" s="206">
        <f t="shared" si="10"/>
        <v>1</v>
      </c>
      <c r="H108" s="206">
        <f t="shared" si="11"/>
        <v>1</v>
      </c>
      <c r="I108" s="2">
        <f t="shared" si="9"/>
        <v>2</v>
      </c>
      <c r="J108" s="282">
        <v>86.399999999999991</v>
      </c>
    </row>
    <row r="109" spans="1:21" ht="37.799999999999997">
      <c r="B109" s="2" t="str">
        <f>Language!$B$78</f>
        <v>Equipment</v>
      </c>
      <c r="C109" s="10" t="str">
        <f>Language!B306</f>
        <v>PolarSafe aluminum cooling block, 15-well for 1.5/2.0 mL tubes</v>
      </c>
      <c r="D109" s="31"/>
      <c r="E109" s="31"/>
      <c r="F109" s="27"/>
      <c r="G109" s="445">
        <v>5</v>
      </c>
      <c r="H109" s="445">
        <v>0</v>
      </c>
      <c r="I109" s="2">
        <f t="shared" si="9"/>
        <v>5</v>
      </c>
      <c r="J109" s="282">
        <v>178</v>
      </c>
    </row>
    <row r="110" spans="1:21" ht="25.5">
      <c r="B110" s="2" t="str">
        <f>Language!$B$454</f>
        <v>Reagent</v>
      </c>
      <c r="C110" s="10" t="str">
        <f>Language!B307</f>
        <v>RNA extraction kit (250 reactions)</v>
      </c>
      <c r="D110" s="11">
        <v>250</v>
      </c>
      <c r="E110" s="11"/>
      <c r="F110" s="27">
        <v>1</v>
      </c>
      <c r="G110" s="206">
        <f t="shared" ref="G110:G115" si="12">ROUNDUP((($F110*($G$89+$G$91))/$D110),0)</f>
        <v>3</v>
      </c>
      <c r="H110" s="206">
        <f t="shared" ref="H110:H115" si="13">ROUNDUP((($F110*($H$89+$H$91))/$D110),0)</f>
        <v>2</v>
      </c>
      <c r="I110" s="2">
        <f t="shared" si="9"/>
        <v>5</v>
      </c>
      <c r="J110" s="282">
        <v>722.59199999999998</v>
      </c>
    </row>
    <row r="111" spans="1:21" ht="25.5">
      <c r="A111" s="362" t="s">
        <v>544</v>
      </c>
      <c r="B111" s="2" t="str">
        <f>Language!$B$454</f>
        <v>Reagent</v>
      </c>
      <c r="C111" s="419" t="str">
        <f>Language!B308</f>
        <v>PCR testing kit (96 reactions)</v>
      </c>
      <c r="D111" s="11">
        <v>96</v>
      </c>
      <c r="E111" s="11"/>
      <c r="F111" s="27">
        <v>1</v>
      </c>
      <c r="G111" s="206">
        <f t="shared" si="12"/>
        <v>7</v>
      </c>
      <c r="H111" s="206">
        <f t="shared" si="13"/>
        <v>4</v>
      </c>
      <c r="I111" s="2">
        <f t="shared" si="9"/>
        <v>11</v>
      </c>
      <c r="J111" s="377">
        <v>384</v>
      </c>
    </row>
    <row r="112" spans="1:21" ht="39.75" customHeight="1">
      <c r="B112" s="2" t="str">
        <f>Language!$B$454</f>
        <v>Reagent</v>
      </c>
      <c r="C112" s="10" t="str">
        <f>Language!B309</f>
        <v>Primers for preamplification (500 rxns)</v>
      </c>
      <c r="D112" s="11">
        <v>500</v>
      </c>
      <c r="E112" s="11"/>
      <c r="F112" s="27">
        <v>1</v>
      </c>
      <c r="G112" s="206">
        <f t="shared" si="12"/>
        <v>2</v>
      </c>
      <c r="H112" s="206">
        <f t="shared" si="13"/>
        <v>1</v>
      </c>
      <c r="I112" s="2">
        <f t="shared" si="9"/>
        <v>3</v>
      </c>
      <c r="J112" s="282">
        <v>180</v>
      </c>
    </row>
    <row r="113" spans="1:13" ht="25.5">
      <c r="B113" s="2" t="str">
        <f>Language!$B$454</f>
        <v>Reagent</v>
      </c>
      <c r="C113" s="10" t="str">
        <f>Language!B310</f>
        <v>Fluorometer DNA HS assay kit (500)</v>
      </c>
      <c r="D113" s="11">
        <v>500</v>
      </c>
      <c r="E113" s="11"/>
      <c r="F113" s="27">
        <v>1</v>
      </c>
      <c r="G113" s="206">
        <f t="shared" si="12"/>
        <v>2</v>
      </c>
      <c r="H113" s="206">
        <f t="shared" si="13"/>
        <v>1</v>
      </c>
      <c r="I113" s="2">
        <f t="shared" si="9"/>
        <v>3</v>
      </c>
      <c r="J113" s="282">
        <v>210.54</v>
      </c>
      <c r="L113" s="9"/>
    </row>
    <row r="114" spans="1:13" ht="25.5">
      <c r="B114" s="2" t="str">
        <f>Language!$B$455</f>
        <v>Consumable</v>
      </c>
      <c r="C114" s="10" t="str">
        <f>Language!B311</f>
        <v>Fluorometer assay tubes (500)</v>
      </c>
      <c r="D114" s="11">
        <v>500</v>
      </c>
      <c r="E114" s="11"/>
      <c r="F114" s="27">
        <v>1</v>
      </c>
      <c r="G114" s="206">
        <f t="shared" si="12"/>
        <v>2</v>
      </c>
      <c r="H114" s="206">
        <f t="shared" si="13"/>
        <v>1</v>
      </c>
      <c r="I114" s="2">
        <f t="shared" si="9"/>
        <v>3</v>
      </c>
      <c r="J114" s="282">
        <v>82</v>
      </c>
    </row>
    <row r="115" spans="1:13">
      <c r="A115" t="s">
        <v>545</v>
      </c>
      <c r="B115" s="2" t="str">
        <f>Language!$B$454</f>
        <v>Reagent</v>
      </c>
      <c r="C115" s="10" t="str">
        <f>Language!B312</f>
        <v>Gel sizing DNA ladder</v>
      </c>
      <c r="D115" s="11">
        <v>1</v>
      </c>
      <c r="E115" s="11"/>
      <c r="F115" s="27">
        <f>1/800</f>
        <v>1.25E-3</v>
      </c>
      <c r="G115" s="206">
        <f t="shared" si="12"/>
        <v>1</v>
      </c>
      <c r="H115" s="206">
        <f t="shared" si="13"/>
        <v>1</v>
      </c>
      <c r="I115" s="2">
        <f t="shared" si="9"/>
        <v>2</v>
      </c>
      <c r="J115" s="282">
        <v>243.6</v>
      </c>
      <c r="M115" s="9"/>
    </row>
    <row r="116" spans="1:13">
      <c r="A116" t="s">
        <v>545</v>
      </c>
      <c r="B116" s="2" t="str">
        <f>Language!$B$454</f>
        <v>Reagent</v>
      </c>
      <c r="C116" s="10" t="str">
        <f>Language!B313</f>
        <v>Agarose gels 2% (20 gels)</v>
      </c>
      <c r="D116" s="11">
        <v>20</v>
      </c>
      <c r="E116" s="11"/>
      <c r="F116" s="27"/>
      <c r="G116" s="446">
        <f>ROUNDUP($G$90/$D116,0)</f>
        <v>3</v>
      </c>
      <c r="H116" s="446">
        <f>ROUNDUP($H$90/$D116,0)</f>
        <v>2</v>
      </c>
      <c r="I116" s="2">
        <f t="shared" si="9"/>
        <v>5</v>
      </c>
      <c r="J116" s="282">
        <v>282</v>
      </c>
      <c r="M116" s="9"/>
    </row>
    <row r="117" spans="1:13">
      <c r="B117" s="2" t="str">
        <f>Language!$B$454</f>
        <v>Reagent</v>
      </c>
      <c r="C117" s="10" t="str">
        <f>Language!B314</f>
        <v>DNA loading buffer</v>
      </c>
      <c r="D117" s="253">
        <v>20</v>
      </c>
      <c r="E117" s="376"/>
      <c r="F117" s="302">
        <f>1/$D$117</f>
        <v>0.05</v>
      </c>
      <c r="G117" s="206">
        <f>ROUNDUP((($F117*($G$89+$G$91))/$D117),0)</f>
        <v>2</v>
      </c>
      <c r="H117" s="206">
        <f>ROUNDUP((($F117*($H$89+$H$91))/$D117),0)</f>
        <v>1</v>
      </c>
      <c r="I117" s="2">
        <f t="shared" si="9"/>
        <v>3</v>
      </c>
      <c r="J117" s="377">
        <v>60</v>
      </c>
    </row>
    <row r="118" spans="1:13" ht="25.5">
      <c r="B118" s="2" t="str">
        <f>Language!$B$455</f>
        <v>Consumable</v>
      </c>
      <c r="C118" s="10" t="str">
        <f>Language!B315</f>
        <v>Reagent reservoir, sterile (pack of 50)</v>
      </c>
      <c r="D118" s="27">
        <v>50</v>
      </c>
      <c r="E118" s="27"/>
      <c r="F118" s="27"/>
      <c r="G118" s="446">
        <f>ROUNDUP($G$90/$D118/2,0)</f>
        <v>1</v>
      </c>
      <c r="H118" s="446">
        <f>ROUNDUP($H$90/$D118/2,0)</f>
        <v>1</v>
      </c>
      <c r="I118" s="2">
        <f t="shared" si="9"/>
        <v>2</v>
      </c>
      <c r="J118" s="282">
        <v>141</v>
      </c>
    </row>
    <row r="119" spans="1:13">
      <c r="B119" s="2" t="str">
        <f>Language!$B$454</f>
        <v>Reagent</v>
      </c>
      <c r="C119" s="10" t="str">
        <f>Language!B316</f>
        <v>NaOH, 1N 100mL</v>
      </c>
      <c r="D119" s="35"/>
      <c r="E119" s="35"/>
      <c r="F119" s="27"/>
      <c r="G119" s="445">
        <v>1</v>
      </c>
      <c r="H119" s="445">
        <v>0</v>
      </c>
      <c r="I119" s="2">
        <f t="shared" si="9"/>
        <v>1</v>
      </c>
      <c r="J119" s="282">
        <v>133.1</v>
      </c>
    </row>
    <row r="120" spans="1:13">
      <c r="B120" s="2" t="str">
        <f>Language!$B$454</f>
        <v>Reagent</v>
      </c>
      <c r="C120" s="10" t="str">
        <f>Language!B317</f>
        <v>Bleach, lab grade (4-6%, 1L)</v>
      </c>
      <c r="D120" s="35"/>
      <c r="E120" s="35"/>
      <c r="F120" s="27"/>
      <c r="G120" s="445">
        <v>1</v>
      </c>
      <c r="H120" s="445">
        <v>0</v>
      </c>
      <c r="I120" s="2">
        <f t="shared" si="9"/>
        <v>1</v>
      </c>
      <c r="J120" s="282">
        <v>136.6</v>
      </c>
      <c r="M120" s="527"/>
    </row>
    <row r="121" spans="1:13">
      <c r="B121" s="2" t="str">
        <f>Language!$B$454</f>
        <v>Reagent</v>
      </c>
      <c r="C121" s="10" t="str">
        <f>Language!B318</f>
        <v>Tween 20, 500 mL</v>
      </c>
      <c r="D121" s="27">
        <v>500</v>
      </c>
      <c r="E121" s="27"/>
      <c r="F121" s="27">
        <f>D121*3/12000</f>
        <v>0.125</v>
      </c>
      <c r="G121" s="206">
        <f>ROUNDUP((($F121*($G$89+$G$91))/$D121),0)</f>
        <v>1</v>
      </c>
      <c r="H121" s="206">
        <f>ROUNDUP((($F121*($H$89+$H$91))/$D121),0)</f>
        <v>1</v>
      </c>
      <c r="I121" s="2">
        <f t="shared" si="9"/>
        <v>2</v>
      </c>
      <c r="J121" s="282">
        <v>50.4</v>
      </c>
    </row>
    <row r="122" spans="1:13" ht="27.75" customHeight="1">
      <c r="B122" s="2" t="str">
        <f>Language!$B$454</f>
        <v>Reagent</v>
      </c>
      <c r="C122" s="10" t="str">
        <f>Language!B319</f>
        <v>Ethanol, 99% lab grade, 1L</v>
      </c>
      <c r="D122" s="34">
        <v>1</v>
      </c>
      <c r="E122" s="34"/>
      <c r="F122" s="27">
        <v>8.9999999999999998E-4</v>
      </c>
      <c r="G122" s="206">
        <f>ROUNDUP((($F122*($G$89+$G$91))/$D122),0)</f>
        <v>1</v>
      </c>
      <c r="H122" s="206">
        <f>ROUNDUP((($F122*($H$89+$H$91))/$D122),0)</f>
        <v>1</v>
      </c>
      <c r="I122" s="2">
        <f t="shared" si="9"/>
        <v>2</v>
      </c>
      <c r="J122" s="282">
        <v>222.5</v>
      </c>
    </row>
    <row r="123" spans="1:13" ht="25.5">
      <c r="B123" s="2" t="str">
        <f>Language!$B$454</f>
        <v>Reagent</v>
      </c>
      <c r="C123" s="10" t="str">
        <f>Language!B320</f>
        <v>(Molecular grade) nuclease free H2O</v>
      </c>
      <c r="D123" s="11">
        <v>1</v>
      </c>
      <c r="E123" s="11"/>
      <c r="F123" s="27">
        <v>5.0000000000000001E-3</v>
      </c>
      <c r="G123" s="206">
        <f>ROUNDUP((($F123*($G$89+$G$91))/$D123),0)</f>
        <v>4</v>
      </c>
      <c r="H123" s="206">
        <f>ROUNDUP((($F123*($H$89+$H$91))/$D123),0)</f>
        <v>2</v>
      </c>
      <c r="I123" s="2">
        <f t="shared" si="9"/>
        <v>6</v>
      </c>
      <c r="J123" s="282">
        <v>123.6</v>
      </c>
    </row>
    <row r="124" spans="1:13" ht="31.2">
      <c r="B124" s="2" t="str">
        <f>Language!$B$454</f>
        <v>Reagent</v>
      </c>
      <c r="C124" s="20" t="str">
        <f>Language!B448</f>
        <v>Universal One-Step RT-qPCR Kit (200 rxns)</v>
      </c>
      <c r="D124" s="27">
        <v>200</v>
      </c>
      <c r="E124" s="16" t="s">
        <v>546</v>
      </c>
      <c r="F124" s="27"/>
      <c r="G124" s="27">
        <f>ROUNDUP(1/$D124*$G$89,0)</f>
        <v>3</v>
      </c>
      <c r="H124" s="27">
        <f>ROUNDUP(1/$D124*$H$89,0)</f>
        <v>2</v>
      </c>
      <c r="I124" s="2">
        <f t="shared" si="9"/>
        <v>5</v>
      </c>
      <c r="J124" s="282">
        <v>345</v>
      </c>
    </row>
    <row r="125" spans="1:13" ht="31.2">
      <c r="B125" s="2" t="str">
        <f>Language!$B$454</f>
        <v>Reagent</v>
      </c>
      <c r="C125" s="20" t="str">
        <f>Language!B449</f>
        <v>Q5 Hot Start HiFi DNA Polymerase (500 units)</v>
      </c>
      <c r="D125" s="302">
        <v>500</v>
      </c>
      <c r="E125" s="18" t="s">
        <v>547</v>
      </c>
      <c r="F125" s="27"/>
      <c r="G125" s="27">
        <f>ROUNDUP(1/$D125*$G$89,0)</f>
        <v>2</v>
      </c>
      <c r="H125" s="27">
        <f>ROUNDUP(1/$D125*$H$89,0)</f>
        <v>1</v>
      </c>
      <c r="I125" s="2">
        <f t="shared" si="9"/>
        <v>3</v>
      </c>
      <c r="J125" s="282">
        <v>600</v>
      </c>
    </row>
    <row r="126" spans="1:13" ht="15.6">
      <c r="B126" s="2" t="str">
        <f>Language!$B$454</f>
        <v>Reagent</v>
      </c>
      <c r="C126" s="20" t="str">
        <f>Language!B450</f>
        <v>10mM dNTP (5x1mL)</v>
      </c>
      <c r="D126" s="304">
        <f>5000/1.5</f>
        <v>3333.3333333333335</v>
      </c>
      <c r="E126" s="16">
        <v>18427089</v>
      </c>
      <c r="F126" s="27"/>
      <c r="G126" s="27">
        <f>ROUNDUP(1/$D126*$G$89,0)</f>
        <v>1</v>
      </c>
      <c r="H126" s="27">
        <f>ROUNDUP(1/$D126*$H$89,0)</f>
        <v>1</v>
      </c>
      <c r="I126" s="2">
        <f t="shared" si="9"/>
        <v>2</v>
      </c>
      <c r="J126" s="300">
        <v>1040</v>
      </c>
    </row>
    <row r="127" spans="1:13" ht="31.2">
      <c r="B127" s="2" t="str">
        <f>Language!$B$454</f>
        <v>Reagent</v>
      </c>
      <c r="C127" s="20" t="str">
        <f>Language!B451</f>
        <v>dS DNA HS assay kit for fluoremeter (500)</v>
      </c>
      <c r="D127" s="304">
        <v>500</v>
      </c>
      <c r="E127" s="16" t="s">
        <v>548</v>
      </c>
      <c r="F127" s="27"/>
      <c r="G127" s="27">
        <f>ROUNDUP(1/$D127*$G$89,0)</f>
        <v>2</v>
      </c>
      <c r="H127" s="27">
        <f>ROUNDUP(1/$D127*$H$89,0)</f>
        <v>1</v>
      </c>
      <c r="I127" s="2">
        <f t="shared" si="9"/>
        <v>3</v>
      </c>
      <c r="J127" s="300">
        <v>193</v>
      </c>
    </row>
    <row r="128" spans="1:13" ht="46.8">
      <c r="B128" s="2" t="str">
        <f>Language!$B$454</f>
        <v>Reagent</v>
      </c>
      <c r="C128" s="20" t="str">
        <f>Language!B452</f>
        <v>High sensitivity DNA assay kit for bioanalyser (110 samples)</v>
      </c>
      <c r="D128" s="304">
        <v>110</v>
      </c>
      <c r="E128" s="16" t="s">
        <v>549</v>
      </c>
      <c r="F128" s="27"/>
      <c r="G128" s="27">
        <f>ROUNDUP(1/$D128*$G$89,0)</f>
        <v>5</v>
      </c>
      <c r="H128" s="27">
        <f>ROUNDUP(1/$D128*$H$89,0)</f>
        <v>3</v>
      </c>
      <c r="I128" s="2">
        <f t="shared" si="9"/>
        <v>8</v>
      </c>
      <c r="J128" s="300">
        <v>824</v>
      </c>
    </row>
    <row r="129" spans="2:32" ht="37.5" customHeight="1">
      <c r="B129" s="2" t="str">
        <f>Language!$B$454</f>
        <v>Reagent</v>
      </c>
      <c r="C129" s="20" t="str">
        <f>Language!B453</f>
        <v xml:space="preserve">ONT Flow cell wash kit </v>
      </c>
      <c r="D129" s="5">
        <v>1</v>
      </c>
      <c r="E129" s="16" t="s">
        <v>550</v>
      </c>
      <c r="F129" s="27"/>
      <c r="G129" s="27">
        <f>ROUNDUP((1/$D129)*$G$90,0)</f>
        <v>53</v>
      </c>
      <c r="H129" s="27">
        <f>ROUNDUP((1/$D129)*$H$90,0)</f>
        <v>21</v>
      </c>
      <c r="I129" s="2">
        <f t="shared" si="9"/>
        <v>74</v>
      </c>
      <c r="J129" s="300">
        <v>99</v>
      </c>
    </row>
    <row r="130" spans="2:32">
      <c r="D130" s="25"/>
      <c r="E130" s="25"/>
      <c r="F130" s="25"/>
      <c r="G130" s="25"/>
      <c r="H130" s="25"/>
      <c r="I130" s="25"/>
    </row>
    <row r="131" spans="2:32" ht="15.6">
      <c r="B131" s="65" t="s">
        <v>551</v>
      </c>
      <c r="C131" s="372" t="s">
        <v>552</v>
      </c>
      <c r="D131" s="374" t="s">
        <v>92</v>
      </c>
      <c r="E131" s="374" t="s">
        <v>553</v>
      </c>
      <c r="F131" s="375" t="s">
        <v>554</v>
      </c>
      <c r="G131" s="369" t="s">
        <v>532</v>
      </c>
      <c r="H131" s="370" t="s">
        <v>533</v>
      </c>
      <c r="I131" s="370" t="s">
        <v>534</v>
      </c>
      <c r="J131" s="375" t="s">
        <v>535</v>
      </c>
      <c r="K131" s="375" t="s">
        <v>555</v>
      </c>
      <c r="L131" s="375" t="s">
        <v>556</v>
      </c>
      <c r="AA131" t="s">
        <v>557</v>
      </c>
      <c r="AB131" t="s">
        <v>558</v>
      </c>
      <c r="AC131" t="s">
        <v>559</v>
      </c>
      <c r="AD131">
        <v>12</v>
      </c>
      <c r="AE131">
        <v>267.59999999999997</v>
      </c>
      <c r="AF131">
        <v>3211.2</v>
      </c>
    </row>
    <row r="132" spans="2:32">
      <c r="B132" s="2" t="s">
        <v>558</v>
      </c>
      <c r="C132" s="34" t="s">
        <v>560</v>
      </c>
      <c r="D132" s="31">
        <v>1000</v>
      </c>
      <c r="E132" s="2">
        <v>10</v>
      </c>
      <c r="F132" s="31"/>
      <c r="G132" s="428">
        <f>ROUNDUP($G$90*$E132/$D132,0)</f>
        <v>1</v>
      </c>
      <c r="H132" s="428">
        <f>ROUNDUP($H$90/$D132/$E132,0)</f>
        <v>1</v>
      </c>
      <c r="I132" s="2">
        <f t="shared" ref="I132:I145" si="14">G132+H132</f>
        <v>2</v>
      </c>
      <c r="J132" s="413">
        <v>267.60000000000002</v>
      </c>
      <c r="K132" s="413">
        <f t="shared" ref="K132:K145" si="15">G132*$J132</f>
        <v>267.60000000000002</v>
      </c>
      <c r="L132" s="413">
        <f t="shared" ref="L132:L145" si="16">H132*$J132</f>
        <v>267.60000000000002</v>
      </c>
      <c r="AA132" t="s">
        <v>561</v>
      </c>
      <c r="AB132" t="s">
        <v>558</v>
      </c>
      <c r="AC132" t="s">
        <v>559</v>
      </c>
      <c r="AD132">
        <v>12</v>
      </c>
      <c r="AE132">
        <v>267.59999999999997</v>
      </c>
      <c r="AF132">
        <v>3211.2</v>
      </c>
    </row>
    <row r="133" spans="2:32" ht="72">
      <c r="B133" s="2" t="s">
        <v>558</v>
      </c>
      <c r="C133" s="34" t="s">
        <v>562</v>
      </c>
      <c r="D133" s="48">
        <v>10</v>
      </c>
      <c r="E133" s="2">
        <v>5</v>
      </c>
      <c r="F133" s="31"/>
      <c r="G133" s="428">
        <f>ROUNDUP($G$90*$E133/$D133,0)</f>
        <v>27</v>
      </c>
      <c r="H133" s="428">
        <f>ROUNDUP($H$90*$E133/$D133,0)</f>
        <v>11</v>
      </c>
      <c r="I133" s="2">
        <f t="shared" si="14"/>
        <v>38</v>
      </c>
      <c r="J133" s="427">
        <v>25</v>
      </c>
      <c r="K133" s="413">
        <f t="shared" si="15"/>
        <v>675</v>
      </c>
      <c r="L133" s="413">
        <f t="shared" si="16"/>
        <v>275</v>
      </c>
      <c r="T133" s="9"/>
      <c r="AA133" t="s">
        <v>563</v>
      </c>
      <c r="AB133" t="s">
        <v>558</v>
      </c>
      <c r="AC133" t="s">
        <v>559</v>
      </c>
      <c r="AD133">
        <v>12</v>
      </c>
      <c r="AE133">
        <v>267.59999999999997</v>
      </c>
      <c r="AF133">
        <v>3211.2</v>
      </c>
    </row>
    <row r="134" spans="2:32" ht="28.8">
      <c r="B134" s="2" t="s">
        <v>564</v>
      </c>
      <c r="C134" s="34" t="s">
        <v>565</v>
      </c>
      <c r="D134" s="31"/>
      <c r="E134" s="2"/>
      <c r="F134" s="31"/>
      <c r="G134" s="205">
        <f>IF($G$89&lt;$J$89,5,10)</f>
        <v>5</v>
      </c>
      <c r="H134" s="205">
        <f>IF($H$89&lt;$J$89,5,10)</f>
        <v>5</v>
      </c>
      <c r="I134" s="2">
        <f t="shared" si="14"/>
        <v>10</v>
      </c>
      <c r="J134" s="413">
        <v>50.3</v>
      </c>
      <c r="K134" s="413">
        <f t="shared" si="15"/>
        <v>251.5</v>
      </c>
      <c r="L134" s="413">
        <f t="shared" si="16"/>
        <v>251.5</v>
      </c>
      <c r="AA134" t="s">
        <v>566</v>
      </c>
      <c r="AB134" t="s">
        <v>558</v>
      </c>
      <c r="AC134" t="s">
        <v>559</v>
      </c>
      <c r="AD134">
        <v>12</v>
      </c>
      <c r="AE134">
        <v>267.59999999999997</v>
      </c>
      <c r="AF134">
        <v>3211.2</v>
      </c>
    </row>
    <row r="135" spans="2:32">
      <c r="B135" s="2" t="s">
        <v>567</v>
      </c>
      <c r="C135" s="212" t="s">
        <v>568</v>
      </c>
      <c r="D135" s="213">
        <v>250</v>
      </c>
      <c r="E135" s="2"/>
      <c r="F135" s="31">
        <v>1</v>
      </c>
      <c r="G135" s="206">
        <f>ROUNDUP(((F135*($G$89+$G$91))/$D135),0)</f>
        <v>3</v>
      </c>
      <c r="H135" s="206">
        <f>ROUNDUP((($F135*($H$89+$H$91))/$D135),0)</f>
        <v>2</v>
      </c>
      <c r="I135" s="2">
        <f t="shared" si="14"/>
        <v>5</v>
      </c>
      <c r="J135" s="413">
        <v>55.199999999999996</v>
      </c>
      <c r="K135" s="413">
        <f t="shared" si="15"/>
        <v>165.6</v>
      </c>
      <c r="L135" s="413">
        <f t="shared" si="16"/>
        <v>110.39999999999999</v>
      </c>
      <c r="AA135" t="s">
        <v>80</v>
      </c>
      <c r="AB135" t="s">
        <v>558</v>
      </c>
      <c r="AC135" t="s">
        <v>559</v>
      </c>
      <c r="AD135">
        <v>12</v>
      </c>
      <c r="AE135">
        <v>267.59999999999997</v>
      </c>
      <c r="AF135">
        <v>3211.2</v>
      </c>
    </row>
    <row r="136" spans="2:32" ht="72">
      <c r="B136" s="211" t="s">
        <v>558</v>
      </c>
      <c r="C136" s="4" t="s">
        <v>569</v>
      </c>
      <c r="D136" s="2">
        <v>25</v>
      </c>
      <c r="E136" s="2"/>
      <c r="F136" s="205">
        <v>1.4999999999999999E-2</v>
      </c>
      <c r="G136" s="206">
        <f>ROUNDUP((($F136*($G$89+$G$91))/$D136),0)</f>
        <v>1</v>
      </c>
      <c r="H136" s="206">
        <f>ROUNDUP((($F136*($H$89+$H$91))/$D136),0)</f>
        <v>1</v>
      </c>
      <c r="I136" s="2">
        <f t="shared" si="14"/>
        <v>2</v>
      </c>
      <c r="J136" s="414">
        <v>115</v>
      </c>
      <c r="K136" s="413">
        <f t="shared" si="15"/>
        <v>115</v>
      </c>
      <c r="L136" s="413">
        <f t="shared" si="16"/>
        <v>115</v>
      </c>
      <c r="AA136" t="s">
        <v>563</v>
      </c>
      <c r="AB136" t="s">
        <v>558</v>
      </c>
      <c r="AC136" t="s">
        <v>570</v>
      </c>
      <c r="AD136">
        <v>25</v>
      </c>
      <c r="AE136">
        <v>67.92</v>
      </c>
      <c r="AF136">
        <v>1698</v>
      </c>
    </row>
    <row r="137" spans="2:32" ht="28.8">
      <c r="B137" s="2" t="s">
        <v>558</v>
      </c>
      <c r="C137" s="214" t="s">
        <v>571</v>
      </c>
      <c r="D137" s="214">
        <f>4*3.8</f>
        <v>15.2</v>
      </c>
      <c r="E137" s="2"/>
      <c r="F137" s="31">
        <v>0.01</v>
      </c>
      <c r="G137" s="206">
        <f>ROUNDUP((($F137*($G$89+$G$91))/$D137),0)</f>
        <v>1</v>
      </c>
      <c r="H137" s="206">
        <f>ROUNDUP((($F137*($H$89+$H$91))/$D137),0)</f>
        <v>1</v>
      </c>
      <c r="I137" s="2">
        <f t="shared" si="14"/>
        <v>2</v>
      </c>
      <c r="J137" s="415">
        <v>416</v>
      </c>
      <c r="K137" s="413">
        <f t="shared" si="15"/>
        <v>416</v>
      </c>
      <c r="L137" s="413">
        <f t="shared" si="16"/>
        <v>416</v>
      </c>
      <c r="AA137" t="s">
        <v>566</v>
      </c>
      <c r="AB137" t="s">
        <v>558</v>
      </c>
      <c r="AC137" t="s">
        <v>570</v>
      </c>
      <c r="AD137">
        <v>25</v>
      </c>
      <c r="AE137">
        <v>67.92</v>
      </c>
      <c r="AF137">
        <v>1698</v>
      </c>
    </row>
    <row r="138" spans="2:32" ht="28.8">
      <c r="B138" s="2" t="s">
        <v>558</v>
      </c>
      <c r="C138" s="35" t="s">
        <v>572</v>
      </c>
      <c r="D138" s="35">
        <v>200</v>
      </c>
      <c r="E138" s="2">
        <v>1</v>
      </c>
      <c r="F138" s="31"/>
      <c r="G138" s="448">
        <f>ROUNDUP($G90*$E138/$D138,0)</f>
        <v>1</v>
      </c>
      <c r="H138" s="448">
        <f>ROUNDUP($H90*$E138/$D138,0)</f>
        <v>1</v>
      </c>
      <c r="I138" s="2">
        <f t="shared" si="14"/>
        <v>2</v>
      </c>
      <c r="J138" s="415">
        <v>113</v>
      </c>
      <c r="K138" s="413">
        <f t="shared" si="15"/>
        <v>113</v>
      </c>
      <c r="L138" s="413">
        <f t="shared" si="16"/>
        <v>113</v>
      </c>
      <c r="AA138" t="s">
        <v>80</v>
      </c>
      <c r="AB138" t="s">
        <v>558</v>
      </c>
      <c r="AC138" t="s">
        <v>570</v>
      </c>
      <c r="AD138">
        <v>25</v>
      </c>
      <c r="AE138">
        <v>67.92</v>
      </c>
      <c r="AF138">
        <v>1305.5999999999999</v>
      </c>
    </row>
    <row r="139" spans="2:32" ht="28.8">
      <c r="B139" s="2" t="s">
        <v>558</v>
      </c>
      <c r="C139" s="35" t="s">
        <v>573</v>
      </c>
      <c r="D139" s="35">
        <v>1000</v>
      </c>
      <c r="E139" s="2">
        <v>4</v>
      </c>
      <c r="F139" s="31"/>
      <c r="G139" s="448">
        <f>ROUNDUP($G90*$E139/$D139,0)</f>
        <v>1</v>
      </c>
      <c r="H139" s="448">
        <f>ROUNDUP($H90*$E139/$D139,0)</f>
        <v>1</v>
      </c>
      <c r="I139" s="2">
        <f t="shared" si="14"/>
        <v>2</v>
      </c>
      <c r="J139" s="415">
        <v>364.5</v>
      </c>
      <c r="K139" s="413">
        <f t="shared" si="15"/>
        <v>364.5</v>
      </c>
      <c r="L139" s="413">
        <f t="shared" si="16"/>
        <v>364.5</v>
      </c>
      <c r="AA139" t="s">
        <v>561</v>
      </c>
      <c r="AB139" t="s">
        <v>567</v>
      </c>
      <c r="AC139" t="s">
        <v>574</v>
      </c>
      <c r="AD139">
        <v>7</v>
      </c>
      <c r="AE139">
        <v>123.6</v>
      </c>
      <c r="AF139">
        <v>865.19999999999993</v>
      </c>
    </row>
    <row r="140" spans="2:32" ht="28.8">
      <c r="B140" s="2" t="s">
        <v>558</v>
      </c>
      <c r="C140" s="35" t="s">
        <v>575</v>
      </c>
      <c r="D140" s="35">
        <v>10</v>
      </c>
      <c r="E140" s="2">
        <v>2</v>
      </c>
      <c r="F140" s="31"/>
      <c r="G140" s="448">
        <f>ROUNDUP($G91*$E140/$D140,0)</f>
        <v>22</v>
      </c>
      <c r="H140" s="448">
        <f>ROUNDUP($H91*$E140/$D140,0)</f>
        <v>9</v>
      </c>
      <c r="I140" s="2">
        <f t="shared" si="14"/>
        <v>31</v>
      </c>
      <c r="J140" s="415">
        <v>136.5</v>
      </c>
      <c r="K140" s="427">
        <f t="shared" si="15"/>
        <v>3003</v>
      </c>
      <c r="L140" s="413">
        <f t="shared" si="16"/>
        <v>1228.5</v>
      </c>
      <c r="AA140" t="s">
        <v>563</v>
      </c>
      <c r="AB140" t="s">
        <v>567</v>
      </c>
      <c r="AC140" t="s">
        <v>574</v>
      </c>
      <c r="AD140">
        <v>7</v>
      </c>
      <c r="AE140">
        <v>123.6</v>
      </c>
      <c r="AF140">
        <v>865.19999999999993</v>
      </c>
    </row>
    <row r="141" spans="2:32">
      <c r="B141" s="2" t="s">
        <v>558</v>
      </c>
      <c r="C141" s="35" t="s">
        <v>576</v>
      </c>
      <c r="D141" s="35"/>
      <c r="E141" s="2"/>
      <c r="F141" s="31"/>
      <c r="G141" s="302">
        <v>20</v>
      </c>
      <c r="H141" s="302">
        <v>20</v>
      </c>
      <c r="I141" s="2">
        <f t="shared" si="14"/>
        <v>40</v>
      </c>
      <c r="J141" s="415">
        <v>36.75</v>
      </c>
      <c r="K141" s="413">
        <f t="shared" si="15"/>
        <v>735</v>
      </c>
      <c r="L141" s="413">
        <f t="shared" si="16"/>
        <v>735</v>
      </c>
      <c r="AA141" t="s">
        <v>566</v>
      </c>
      <c r="AB141" t="s">
        <v>567</v>
      </c>
      <c r="AC141" t="s">
        <v>574</v>
      </c>
      <c r="AD141">
        <v>7</v>
      </c>
      <c r="AE141">
        <v>123.6</v>
      </c>
      <c r="AF141">
        <v>865.19999999999993</v>
      </c>
    </row>
    <row r="142" spans="2:32" ht="43.2">
      <c r="B142" s="2" t="s">
        <v>558</v>
      </c>
      <c r="C142" s="35" t="s">
        <v>577</v>
      </c>
      <c r="D142" s="35"/>
      <c r="E142" s="2"/>
      <c r="F142" s="31"/>
      <c r="G142" s="302">
        <v>3</v>
      </c>
      <c r="H142" s="302">
        <v>3</v>
      </c>
      <c r="I142" s="2">
        <f t="shared" si="14"/>
        <v>6</v>
      </c>
      <c r="J142" s="415">
        <v>24.18</v>
      </c>
      <c r="K142" s="413">
        <f t="shared" si="15"/>
        <v>72.539999999999992</v>
      </c>
      <c r="L142" s="413">
        <f t="shared" si="16"/>
        <v>72.539999999999992</v>
      </c>
      <c r="AA142" t="s">
        <v>80</v>
      </c>
      <c r="AB142" t="s">
        <v>567</v>
      </c>
      <c r="AC142" t="s">
        <v>574</v>
      </c>
      <c r="AD142">
        <v>7</v>
      </c>
      <c r="AE142">
        <v>123.6</v>
      </c>
      <c r="AF142">
        <v>865.19999999999993</v>
      </c>
    </row>
    <row r="143" spans="2:32" ht="28.8">
      <c r="B143" s="2" t="s">
        <v>558</v>
      </c>
      <c r="C143" s="35" t="s">
        <v>578</v>
      </c>
      <c r="D143" s="35"/>
      <c r="E143" s="2"/>
      <c r="F143" s="31"/>
      <c r="G143" s="302">
        <v>3</v>
      </c>
      <c r="H143" s="302">
        <v>3</v>
      </c>
      <c r="I143" s="2">
        <f t="shared" si="14"/>
        <v>6</v>
      </c>
      <c r="J143" s="415">
        <v>229</v>
      </c>
      <c r="K143" s="413">
        <f t="shared" si="15"/>
        <v>687</v>
      </c>
      <c r="L143" s="413">
        <f t="shared" si="16"/>
        <v>687</v>
      </c>
      <c r="S143" s="25"/>
      <c r="AA143" t="s">
        <v>561</v>
      </c>
      <c r="AB143" t="s">
        <v>558</v>
      </c>
      <c r="AC143" t="s">
        <v>571</v>
      </c>
      <c r="AD143">
        <v>2</v>
      </c>
      <c r="AE143">
        <v>416</v>
      </c>
      <c r="AF143">
        <v>832</v>
      </c>
    </row>
    <row r="144" spans="2:32">
      <c r="B144" s="27" t="s">
        <v>558</v>
      </c>
      <c r="C144" s="35" t="s">
        <v>579</v>
      </c>
      <c r="D144" s="35"/>
      <c r="E144" s="2"/>
      <c r="F144" s="31"/>
      <c r="G144" s="302">
        <v>2</v>
      </c>
      <c r="H144" s="302">
        <v>2</v>
      </c>
      <c r="I144" s="2">
        <f t="shared" si="14"/>
        <v>4</v>
      </c>
      <c r="J144" s="415">
        <v>110</v>
      </c>
      <c r="K144" s="413">
        <f t="shared" si="15"/>
        <v>220</v>
      </c>
      <c r="L144" s="413">
        <f t="shared" si="16"/>
        <v>220</v>
      </c>
      <c r="S144" s="25"/>
      <c r="AA144" t="s">
        <v>566</v>
      </c>
      <c r="AB144" t="s">
        <v>558</v>
      </c>
      <c r="AC144" t="s">
        <v>571</v>
      </c>
      <c r="AD144">
        <v>2</v>
      </c>
      <c r="AE144">
        <v>416</v>
      </c>
      <c r="AF144">
        <v>832</v>
      </c>
    </row>
    <row r="145" spans="2:32">
      <c r="B145" s="27" t="s">
        <v>558</v>
      </c>
      <c r="C145" s="35" t="s">
        <v>580</v>
      </c>
      <c r="D145" s="35"/>
      <c r="E145" s="2"/>
      <c r="F145" s="31"/>
      <c r="G145" s="302">
        <v>5</v>
      </c>
      <c r="H145" s="302">
        <v>5</v>
      </c>
      <c r="I145" s="2">
        <f t="shared" si="14"/>
        <v>10</v>
      </c>
      <c r="J145" s="415">
        <v>19.309999999999999</v>
      </c>
      <c r="K145" s="413">
        <f t="shared" si="15"/>
        <v>96.55</v>
      </c>
      <c r="L145" s="413">
        <f t="shared" si="16"/>
        <v>96.55</v>
      </c>
      <c r="AA145" t="s">
        <v>563</v>
      </c>
      <c r="AB145" t="s">
        <v>558</v>
      </c>
      <c r="AC145" t="s">
        <v>571</v>
      </c>
      <c r="AD145">
        <v>2</v>
      </c>
      <c r="AE145">
        <v>416</v>
      </c>
      <c r="AF145">
        <v>832</v>
      </c>
    </row>
    <row r="146" spans="2:32" ht="28.8">
      <c r="J146" s="39" t="s">
        <v>581</v>
      </c>
      <c r="K146" s="378">
        <f>IF($G$89=0,0,SUM($K$132:$K$145))</f>
        <v>7182.29</v>
      </c>
      <c r="L146" s="378">
        <f>IF($H$89=0,0,SUM($L$132:$L$145))</f>
        <v>4952.59</v>
      </c>
      <c r="AA146" t="s">
        <v>80</v>
      </c>
      <c r="AB146" t="s">
        <v>558</v>
      </c>
      <c r="AC146" t="s">
        <v>571</v>
      </c>
      <c r="AD146">
        <v>2</v>
      </c>
      <c r="AE146">
        <v>416</v>
      </c>
      <c r="AF146">
        <v>832</v>
      </c>
    </row>
    <row r="147" spans="2:32">
      <c r="B147" s="3"/>
      <c r="D147" s="3"/>
      <c r="E147" s="3"/>
      <c r="G147" s="3"/>
      <c r="J147" s="37" t="s">
        <v>582</v>
      </c>
      <c r="K147" s="379">
        <f>IFERROR($K$146/('Data entry'!$C$16),0)</f>
        <v>14.36458</v>
      </c>
      <c r="L147">
        <f>IFERROR($L$146/('Data entry'!$F$16),0)</f>
        <v>16.508633333333332</v>
      </c>
      <c r="M147" s="3"/>
      <c r="N147" s="40"/>
      <c r="O147" s="40"/>
      <c r="P147" s="3"/>
      <c r="Q147" s="40"/>
      <c r="AC147" t="s">
        <v>583</v>
      </c>
      <c r="AD147">
        <v>3</v>
      </c>
      <c r="AE147">
        <v>786.5</v>
      </c>
      <c r="AF147">
        <v>2359.5</v>
      </c>
    </row>
    <row r="148" spans="2:32">
      <c r="AC148" t="s">
        <v>583</v>
      </c>
      <c r="AD148">
        <v>3</v>
      </c>
      <c r="AE148">
        <v>786.5</v>
      </c>
      <c r="AF148">
        <v>2359.5</v>
      </c>
    </row>
    <row r="149" spans="2:32">
      <c r="J149" s="71"/>
      <c r="AC149" t="s">
        <v>583</v>
      </c>
      <c r="AD149">
        <v>3</v>
      </c>
      <c r="AE149">
        <v>786.5</v>
      </c>
      <c r="AF149">
        <v>2359.5</v>
      </c>
    </row>
    <row r="150" spans="2:32">
      <c r="AC150" t="s">
        <v>583</v>
      </c>
      <c r="AD150">
        <v>3</v>
      </c>
      <c r="AE150">
        <v>786.5</v>
      </c>
      <c r="AF150">
        <v>2359.5</v>
      </c>
    </row>
    <row r="151" spans="2:32">
      <c r="C151" s="3"/>
      <c r="D151" s="3"/>
      <c r="E151" s="3"/>
      <c r="F151" s="3"/>
      <c r="K151" s="3"/>
      <c r="AC151" t="s">
        <v>584</v>
      </c>
      <c r="AD151">
        <v>3</v>
      </c>
      <c r="AE151">
        <v>364.5</v>
      </c>
      <c r="AF151">
        <v>1093.5</v>
      </c>
    </row>
    <row r="152" spans="2:32">
      <c r="AC152" t="s">
        <v>584</v>
      </c>
      <c r="AD152">
        <v>3</v>
      </c>
      <c r="AE152">
        <v>364.5</v>
      </c>
      <c r="AF152">
        <v>1093.5</v>
      </c>
    </row>
    <row r="153" spans="2:32">
      <c r="AC153" t="s">
        <v>584</v>
      </c>
      <c r="AD153">
        <v>3</v>
      </c>
      <c r="AE153">
        <v>364.5</v>
      </c>
      <c r="AF153">
        <v>1093.5</v>
      </c>
    </row>
    <row r="154" spans="2:32">
      <c r="AC154" t="s">
        <v>584</v>
      </c>
      <c r="AD154">
        <v>3</v>
      </c>
      <c r="AE154">
        <v>364.5</v>
      </c>
      <c r="AF154">
        <v>1093.5</v>
      </c>
    </row>
    <row r="155" spans="2:32">
      <c r="AA155" t="s">
        <v>561</v>
      </c>
      <c r="AB155" t="s">
        <v>558</v>
      </c>
      <c r="AC155" t="s">
        <v>585</v>
      </c>
      <c r="AD155">
        <v>12</v>
      </c>
      <c r="AE155">
        <v>136.5</v>
      </c>
      <c r="AF155">
        <v>1638</v>
      </c>
    </row>
    <row r="156" spans="2:32">
      <c r="AA156" t="s">
        <v>566</v>
      </c>
      <c r="AB156" t="s">
        <v>558</v>
      </c>
      <c r="AC156" t="s">
        <v>585</v>
      </c>
      <c r="AD156">
        <v>12</v>
      </c>
      <c r="AE156">
        <v>136.5</v>
      </c>
      <c r="AF156">
        <v>1638</v>
      </c>
    </row>
    <row r="157" spans="2:32">
      <c r="AA157" t="s">
        <v>563</v>
      </c>
      <c r="AB157" t="s">
        <v>558</v>
      </c>
      <c r="AC157" t="s">
        <v>585</v>
      </c>
      <c r="AD157">
        <v>12</v>
      </c>
      <c r="AE157">
        <v>136.5</v>
      </c>
      <c r="AF157">
        <v>1638</v>
      </c>
    </row>
    <row r="158" spans="2:32">
      <c r="AA158" t="s">
        <v>80</v>
      </c>
      <c r="AB158" t="s">
        <v>558</v>
      </c>
      <c r="AC158" t="s">
        <v>585</v>
      </c>
      <c r="AD158">
        <v>12</v>
      </c>
      <c r="AE158">
        <v>136.5</v>
      </c>
      <c r="AF158">
        <v>1638</v>
      </c>
    </row>
    <row r="159" spans="2:32">
      <c r="AA159" t="s">
        <v>561</v>
      </c>
      <c r="AB159" t="s">
        <v>558</v>
      </c>
      <c r="AC159" t="s">
        <v>576</v>
      </c>
      <c r="AD159">
        <v>5</v>
      </c>
      <c r="AE159">
        <v>36.75</v>
      </c>
      <c r="AF159">
        <v>183.75</v>
      </c>
    </row>
    <row r="160" spans="2:32">
      <c r="AA160" t="s">
        <v>566</v>
      </c>
      <c r="AB160" t="s">
        <v>558</v>
      </c>
      <c r="AC160" t="s">
        <v>576</v>
      </c>
      <c r="AD160">
        <v>5</v>
      </c>
      <c r="AE160">
        <v>36.75</v>
      </c>
      <c r="AF160">
        <v>183.75</v>
      </c>
    </row>
    <row r="161" spans="27:32">
      <c r="AA161" t="s">
        <v>563</v>
      </c>
      <c r="AB161" t="s">
        <v>558</v>
      </c>
      <c r="AC161" t="s">
        <v>576</v>
      </c>
      <c r="AD161">
        <v>5</v>
      </c>
      <c r="AE161">
        <v>36.75</v>
      </c>
      <c r="AF161">
        <v>183.75</v>
      </c>
    </row>
    <row r="162" spans="27:32">
      <c r="AA162" t="s">
        <v>80</v>
      </c>
      <c r="AB162" t="s">
        <v>558</v>
      </c>
      <c r="AC162" t="s">
        <v>576</v>
      </c>
      <c r="AD162">
        <v>5</v>
      </c>
      <c r="AE162">
        <v>36.75</v>
      </c>
      <c r="AF162">
        <v>183.75</v>
      </c>
    </row>
    <row r="163" spans="27:32">
      <c r="AA163" t="s">
        <v>561</v>
      </c>
      <c r="AB163" t="s">
        <v>558</v>
      </c>
      <c r="AC163" t="s">
        <v>586</v>
      </c>
      <c r="AD163">
        <v>2</v>
      </c>
      <c r="AE163">
        <v>24.18</v>
      </c>
      <c r="AF163">
        <v>48.36</v>
      </c>
    </row>
    <row r="164" spans="27:32">
      <c r="AA164" t="s">
        <v>566</v>
      </c>
      <c r="AB164" t="s">
        <v>558</v>
      </c>
      <c r="AC164" t="s">
        <v>586</v>
      </c>
      <c r="AD164">
        <v>2</v>
      </c>
      <c r="AE164">
        <v>24.18</v>
      </c>
      <c r="AF164">
        <v>48.36</v>
      </c>
    </row>
    <row r="165" spans="27:32">
      <c r="AA165" t="s">
        <v>563</v>
      </c>
      <c r="AB165" t="s">
        <v>558</v>
      </c>
      <c r="AC165" t="s">
        <v>586</v>
      </c>
      <c r="AD165">
        <v>2</v>
      </c>
      <c r="AE165">
        <v>24.18</v>
      </c>
      <c r="AF165">
        <v>48.36</v>
      </c>
    </row>
    <row r="166" spans="27:32">
      <c r="AA166" t="s">
        <v>80</v>
      </c>
      <c r="AB166" t="s">
        <v>558</v>
      </c>
      <c r="AC166" t="s">
        <v>586</v>
      </c>
      <c r="AD166">
        <v>2</v>
      </c>
      <c r="AE166">
        <v>24.18</v>
      </c>
      <c r="AF166">
        <v>48.36</v>
      </c>
    </row>
    <row r="167" spans="27:32">
      <c r="AA167" t="s">
        <v>561</v>
      </c>
      <c r="AB167" t="s">
        <v>558</v>
      </c>
      <c r="AC167" t="s">
        <v>587</v>
      </c>
      <c r="AD167">
        <v>1</v>
      </c>
      <c r="AE167">
        <v>229</v>
      </c>
      <c r="AF167">
        <v>229</v>
      </c>
    </row>
    <row r="168" spans="27:32">
      <c r="AA168" t="s">
        <v>566</v>
      </c>
      <c r="AB168" t="s">
        <v>558</v>
      </c>
      <c r="AC168" t="s">
        <v>587</v>
      </c>
      <c r="AD168">
        <v>1</v>
      </c>
      <c r="AE168">
        <v>229</v>
      </c>
      <c r="AF168">
        <v>229</v>
      </c>
    </row>
    <row r="169" spans="27:32">
      <c r="AA169" t="s">
        <v>563</v>
      </c>
      <c r="AB169" t="s">
        <v>558</v>
      </c>
      <c r="AC169" t="s">
        <v>587</v>
      </c>
      <c r="AD169">
        <v>1</v>
      </c>
      <c r="AE169">
        <v>229</v>
      </c>
      <c r="AF169">
        <v>229</v>
      </c>
    </row>
    <row r="170" spans="27:32">
      <c r="AA170" t="s">
        <v>80</v>
      </c>
      <c r="AB170" t="s">
        <v>558</v>
      </c>
      <c r="AC170" t="s">
        <v>587</v>
      </c>
      <c r="AD170">
        <v>1</v>
      </c>
      <c r="AE170">
        <v>229</v>
      </c>
      <c r="AF170">
        <v>229</v>
      </c>
    </row>
    <row r="171" spans="27:32">
      <c r="AA171" t="s">
        <v>80</v>
      </c>
      <c r="AB171" t="s">
        <v>558</v>
      </c>
      <c r="AC171" t="s">
        <v>579</v>
      </c>
      <c r="AD171">
        <v>1</v>
      </c>
      <c r="AE171">
        <v>125.1</v>
      </c>
      <c r="AF171">
        <v>125.1</v>
      </c>
    </row>
    <row r="172" spans="27:32">
      <c r="AA172" t="s">
        <v>561</v>
      </c>
      <c r="AB172" t="s">
        <v>558</v>
      </c>
      <c r="AC172" t="s">
        <v>588</v>
      </c>
      <c r="AD172">
        <v>4</v>
      </c>
      <c r="AE172">
        <v>19.309999999999999</v>
      </c>
      <c r="AF172">
        <v>77.239999999999995</v>
      </c>
    </row>
    <row r="173" spans="27:32">
      <c r="AA173" t="s">
        <v>566</v>
      </c>
      <c r="AB173" t="s">
        <v>558</v>
      </c>
      <c r="AC173" t="s">
        <v>588</v>
      </c>
      <c r="AD173">
        <v>4</v>
      </c>
      <c r="AE173">
        <v>19.309999999999999</v>
      </c>
      <c r="AF173">
        <v>77.239999999999995</v>
      </c>
    </row>
    <row r="174" spans="27:32">
      <c r="AA174" t="s">
        <v>563</v>
      </c>
      <c r="AB174" t="s">
        <v>558</v>
      </c>
      <c r="AC174" t="s">
        <v>588</v>
      </c>
      <c r="AD174">
        <v>4</v>
      </c>
      <c r="AE174">
        <v>19.309999999999999</v>
      </c>
      <c r="AF174">
        <v>77.239999999999995</v>
      </c>
    </row>
    <row r="175" spans="27:32">
      <c r="AA175" t="s">
        <v>80</v>
      </c>
      <c r="AB175" t="s">
        <v>558</v>
      </c>
      <c r="AC175" t="s">
        <v>588</v>
      </c>
      <c r="AD175">
        <v>4</v>
      </c>
      <c r="AE175">
        <v>19.309999999999999</v>
      </c>
      <c r="AF175">
        <v>77.239999999999995</v>
      </c>
    </row>
    <row r="179" spans="6:11">
      <c r="F179" s="25"/>
      <c r="G179" s="25"/>
      <c r="H179" s="25"/>
      <c r="I179" s="25"/>
      <c r="J179" s="25"/>
    </row>
    <row r="180" spans="6:11">
      <c r="F180" s="25"/>
      <c r="G180" s="25"/>
      <c r="H180" s="25"/>
      <c r="I180" s="25"/>
      <c r="J180" s="25"/>
    </row>
    <row r="181" spans="6:11">
      <c r="G181" s="25"/>
      <c r="H181" s="25"/>
      <c r="I181" s="25"/>
      <c r="J181" s="25"/>
      <c r="K181" s="25"/>
    </row>
    <row r="182" spans="6:11">
      <c r="G182" s="25"/>
      <c r="H182" s="25"/>
      <c r="I182" s="25"/>
      <c r="J182" s="25"/>
      <c r="K182" s="25"/>
    </row>
    <row r="183" spans="6:11">
      <c r="G183" s="25"/>
      <c r="H183" s="25"/>
      <c r="I183" s="25"/>
      <c r="J183" s="25"/>
      <c r="K183" s="25"/>
    </row>
    <row r="184" spans="6:11">
      <c r="G184" s="25"/>
      <c r="H184" s="25"/>
      <c r="I184" s="25"/>
      <c r="J184" s="25"/>
      <c r="K184" s="25"/>
    </row>
    <row r="185" spans="6:11">
      <c r="G185" s="25"/>
      <c r="H185" s="25"/>
      <c r="I185" s="25"/>
      <c r="J185" s="25"/>
      <c r="K185" s="25"/>
    </row>
    <row r="186" spans="6:11">
      <c r="G186" s="25"/>
      <c r="H186" s="25"/>
      <c r="I186" s="25"/>
      <c r="J186" s="25"/>
      <c r="K186" s="25"/>
    </row>
    <row r="187" spans="6:11">
      <c r="G187" s="25"/>
      <c r="H187" s="25"/>
      <c r="I187" s="25"/>
      <c r="J187" s="25"/>
      <c r="K187" s="25"/>
    </row>
    <row r="188" spans="6:11">
      <c r="G188" s="25"/>
      <c r="H188" s="25"/>
      <c r="I188" s="25"/>
      <c r="J188" s="25"/>
      <c r="K188" s="25"/>
    </row>
    <row r="189" spans="6:11">
      <c r="G189" s="25"/>
      <c r="H189" s="25"/>
      <c r="I189" s="25"/>
      <c r="J189" s="25"/>
      <c r="K189" s="25"/>
    </row>
    <row r="190" spans="6:11">
      <c r="G190" s="25"/>
      <c r="H190" s="25"/>
      <c r="I190" s="25"/>
      <c r="J190" s="25"/>
      <c r="K190" s="25"/>
    </row>
    <row r="191" spans="6:11">
      <c r="G191" s="25"/>
      <c r="H191" s="25"/>
      <c r="I191" s="25"/>
      <c r="J191" s="25"/>
      <c r="K191" s="25"/>
    </row>
    <row r="192" spans="6:11">
      <c r="G192" s="25"/>
      <c r="H192" s="25"/>
      <c r="I192" s="25"/>
      <c r="J192" s="25"/>
      <c r="K192" s="25"/>
    </row>
    <row r="193" spans="7:11">
      <c r="G193" s="25"/>
      <c r="H193" s="25"/>
      <c r="I193" s="25"/>
      <c r="J193" s="25"/>
      <c r="K193" s="25"/>
    </row>
    <row r="194" spans="7:11">
      <c r="G194" s="25"/>
      <c r="H194" s="25"/>
      <c r="I194" s="25"/>
      <c r="J194" s="25"/>
      <c r="K194" s="25"/>
    </row>
    <row r="195" spans="7:11">
      <c r="G195" s="25"/>
      <c r="H195" s="25"/>
      <c r="I195" s="25"/>
      <c r="J195" s="25"/>
      <c r="K195" s="25"/>
    </row>
    <row r="196" spans="7:11">
      <c r="G196" s="25"/>
      <c r="H196" s="25"/>
      <c r="I196" s="25"/>
      <c r="J196" s="25"/>
      <c r="K196" s="25"/>
    </row>
    <row r="197" spans="7:11">
      <c r="G197" s="25"/>
      <c r="H197" s="25"/>
      <c r="I197" s="25"/>
      <c r="J197" s="25"/>
      <c r="K197" s="25"/>
    </row>
    <row r="198" spans="7:11">
      <c r="G198" s="25"/>
      <c r="H198" s="25"/>
      <c r="I198" s="25"/>
      <c r="J198" s="25"/>
      <c r="K198" s="25"/>
    </row>
    <row r="199" spans="7:11">
      <c r="G199" s="25"/>
      <c r="H199" s="25"/>
      <c r="I199" s="25"/>
      <c r="J199" s="25"/>
      <c r="K199" s="25"/>
    </row>
    <row r="200" spans="7:11">
      <c r="G200" s="25"/>
      <c r="H200" s="25"/>
      <c r="I200" s="25"/>
      <c r="J200" s="25"/>
      <c r="K200" s="25"/>
    </row>
    <row r="201" spans="7:11">
      <c r="G201" s="25"/>
      <c r="H201" s="25"/>
      <c r="I201" s="25"/>
      <c r="J201" s="25"/>
      <c r="K201" s="25"/>
    </row>
    <row r="202" spans="7:11">
      <c r="G202" s="25"/>
      <c r="H202" s="25"/>
      <c r="I202" s="25"/>
      <c r="J202" s="25"/>
      <c r="K202" s="25"/>
    </row>
    <row r="203" spans="7:11">
      <c r="G203" s="25"/>
      <c r="H203" s="25"/>
      <c r="I203" s="25"/>
      <c r="J203" s="25"/>
      <c r="K203" s="25"/>
    </row>
    <row r="204" spans="7:11">
      <c r="G204" s="25"/>
      <c r="H204" s="25"/>
      <c r="I204" s="25"/>
      <c r="J204" s="25"/>
      <c r="K204" s="25"/>
    </row>
    <row r="205" spans="7:11">
      <c r="G205" s="25"/>
      <c r="H205" s="25"/>
      <c r="I205" s="25"/>
      <c r="J205" s="25"/>
      <c r="K205" s="25"/>
    </row>
    <row r="206" spans="7:11">
      <c r="G206" s="25"/>
      <c r="H206" s="25"/>
      <c r="I206" s="25"/>
      <c r="J206" s="25"/>
      <c r="K206" s="25"/>
    </row>
    <row r="207" spans="7:11">
      <c r="G207" s="25"/>
      <c r="H207" s="25"/>
      <c r="I207" s="25"/>
      <c r="J207" s="25"/>
      <c r="K207" s="25"/>
    </row>
    <row r="208" spans="7:11">
      <c r="G208" s="25"/>
      <c r="H208" s="25"/>
      <c r="I208" s="25"/>
      <c r="J208" s="25"/>
      <c r="K208" s="25"/>
    </row>
    <row r="209" spans="7:11">
      <c r="G209" s="25"/>
      <c r="H209" s="25"/>
      <c r="I209" s="25"/>
      <c r="J209" s="25"/>
      <c r="K209" s="25"/>
    </row>
    <row r="210" spans="7:11">
      <c r="G210" s="25"/>
      <c r="H210" s="25"/>
      <c r="I210" s="25"/>
      <c r="J210" s="25"/>
      <c r="K210" s="25"/>
    </row>
    <row r="211" spans="7:11">
      <c r="G211" s="25"/>
      <c r="H211" s="25"/>
      <c r="I211" s="25"/>
      <c r="J211" s="25"/>
      <c r="K211" s="25"/>
    </row>
    <row r="212" spans="7:11">
      <c r="G212" s="25"/>
      <c r="H212" s="25"/>
      <c r="I212" s="25"/>
      <c r="J212" s="25"/>
      <c r="K212" s="25"/>
    </row>
    <row r="213" spans="7:11">
      <c r="G213" s="25"/>
      <c r="H213" s="25"/>
      <c r="I213" s="25"/>
      <c r="J213" s="25"/>
      <c r="K213" s="25"/>
    </row>
    <row r="214" spans="7:11">
      <c r="G214" s="25"/>
      <c r="H214" s="25"/>
      <c r="I214" s="25"/>
      <c r="J214" s="25"/>
      <c r="K214" s="25"/>
    </row>
    <row r="215" spans="7:11">
      <c r="G215" s="25"/>
      <c r="H215" s="25"/>
      <c r="I215" s="25"/>
      <c r="J215" s="25"/>
      <c r="K215" s="25"/>
    </row>
    <row r="216" spans="7:11">
      <c r="G216" s="25"/>
      <c r="H216" s="25"/>
      <c r="I216" s="25"/>
      <c r="J216" s="25"/>
      <c r="K216" s="25"/>
    </row>
    <row r="217" spans="7:11">
      <c r="G217" s="25"/>
      <c r="H217" s="25"/>
      <c r="I217" s="25"/>
      <c r="J217" s="25"/>
      <c r="K217" s="25"/>
    </row>
    <row r="218" spans="7:11">
      <c r="G218" s="25"/>
      <c r="H218" s="25"/>
      <c r="I218" s="25"/>
      <c r="J218" s="25"/>
      <c r="K218" s="25"/>
    </row>
    <row r="219" spans="7:11">
      <c r="G219" s="25"/>
      <c r="H219" s="25"/>
      <c r="I219" s="25"/>
      <c r="J219" s="25"/>
      <c r="K219" s="25"/>
    </row>
    <row r="220" spans="7:11">
      <c r="G220" s="25"/>
      <c r="H220" s="25"/>
      <c r="I220" s="25"/>
      <c r="J220" s="25"/>
      <c r="K220" s="25"/>
    </row>
    <row r="221" spans="7:11">
      <c r="G221" s="25"/>
      <c r="H221" s="25"/>
      <c r="I221" s="25"/>
      <c r="J221" s="25"/>
      <c r="K221" s="25"/>
    </row>
    <row r="222" spans="7:11">
      <c r="G222" s="25"/>
      <c r="H222" s="25"/>
      <c r="I222" s="25"/>
      <c r="J222" s="25"/>
      <c r="K222" s="25"/>
    </row>
    <row r="223" spans="7:11">
      <c r="G223" s="25"/>
      <c r="H223" s="25"/>
      <c r="I223" s="25"/>
      <c r="J223" s="25"/>
      <c r="K223" s="25"/>
    </row>
    <row r="224" spans="7:11">
      <c r="G224" s="25"/>
      <c r="H224" s="25"/>
      <c r="I224" s="25"/>
      <c r="J224" s="25"/>
      <c r="K224" s="25"/>
    </row>
    <row r="225" spans="7:11">
      <c r="G225" s="25"/>
      <c r="H225" s="25"/>
      <c r="I225" s="25"/>
      <c r="J225" s="25"/>
      <c r="K225" s="25"/>
    </row>
    <row r="226" spans="7:11">
      <c r="G226" s="25"/>
      <c r="H226" s="25"/>
      <c r="I226" s="25"/>
      <c r="J226" s="25"/>
      <c r="K226" s="25"/>
    </row>
    <row r="227" spans="7:11">
      <c r="G227" s="25"/>
      <c r="H227" s="25"/>
      <c r="I227" s="25"/>
      <c r="J227" s="25"/>
      <c r="K227" s="25"/>
    </row>
    <row r="228" spans="7:11">
      <c r="G228" s="25"/>
      <c r="H228" s="25"/>
      <c r="I228" s="25"/>
      <c r="J228" s="25"/>
      <c r="K228" s="25"/>
    </row>
    <row r="229" spans="7:11">
      <c r="G229" s="25"/>
      <c r="H229" s="25"/>
      <c r="I229" s="25"/>
      <c r="J229" s="25"/>
      <c r="K229" s="25"/>
    </row>
  </sheetData>
  <sheetProtection algorithmName="SHA-512" hashValue="Z5+Ehd1beGTolC7ApD6Hivi1K4rtkWGgQ2zRkFSGLZeZZw99ST4tlK74kkoXKX3RlcUF0yQtBl95jgTS4h8taw==" saltValue="4zj+otTKBtmKOGErTOkVtg==" spinCount="100000" sheet="1" objects="1" scenarios="1" formatColumns="0" formatRows="0"/>
  <mergeCells count="1">
    <mergeCell ref="C1:K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AFB0-265E-4452-B681-408B61EBAE1D}">
  <dimension ref="H6"/>
  <sheetViews>
    <sheetView workbookViewId="0">
      <selection activeCell="I9" sqref="I9:I12"/>
    </sheetView>
  </sheetViews>
  <sheetFormatPr defaultColWidth="8.41796875" defaultRowHeight="14.4"/>
  <sheetData>
    <row r="6" spans="8:8">
      <c r="H6">
        <f>IF(AND($A2="iSeq 100 i1 Reagent v2 (300-cycle) - low throughput",$B$1=2500),313,IF(AND($A2="MiniSeq Mid Output 300 cycles - low throughput",$B$1=2500),156,IF(AND($A2="MiniSeq Mid Output 300 cycles - low throughput",$B$1=5000),313,IF(AND($A2="MiniSeq High Output Reagent Kit (75-cycles) - low throughput",$B$1=2500),208,IF(AND($A2="MiniSeq High Output Reagent Kit (75-cycles) - low throughput",$B$1=5000),417,IF(AND($A2="MiniSeq High Output Reagent Kit (150-cycles) - low throughput",$B$1=2500),104,IF(AND($A2="MiniSeq High Output Reagent Kit (150-cycles) - low throughput",$B$1=5000),208,IF(AND($A2="MiniSeq High Output 300 cycles - low throughput",$B$1=2500),52,IF(AND($A2="MiniSeq High Output 300 cycles - low throughput",$B$1=5000),104,IF(AND($A2="MiniSeq Rapid Reagent Kit (100 cycles) - low throughput",$B$1=2500),179,IF(AND($A2="MiniSeq Rapid Reagent Kit (100 cycles) - low throughput",$B$1=5000),357,IF(AND($A2="MiSeq Reagent Kit v3 (150-cycle)",$B$1=2500),52,IF(AND($A2="MiSeq Reagent Kit v3 (150-cycle)",$B$1=5000),104,IF(AND($A2="MiSeq Reagent Kit v3 (150-cycle)",$B$1=8000),167,IF(AND($A2="MiSeq® Reagent Kit v3 (600 cycle)",$B$1=2500),26,IF(AND($A2="MiSeq® Reagent Kit v3 (600 cycle)",$B$1=5000),52,IF(AND($A2="MiSeq® Reagent Kit v3 (600 cycle)",$B$1=8000),83,IF(AND($A2="NextSeq 1000/2000 P2 Reagents (300 Cycles) v3 - high throughput",$B$1=8000),31,IF(AND($A2="NextSeq 1000/2000 P2 Reagents (300 Cycles) v3 - high throughput",$B$1=12000),21,IF(AND($A2="NovaSeq 6000 SP Reagent Kit v1.5 (200 cycle) - high throughput",$B$1=8000),16,IF(AND($A2="NovaSeq 6000 SP Reagent Kit v1.5 (200 cycle) - high throughput",$B$1=12000),10,0)))))))))))))))))))))</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BFC5-BF69-40B0-8071-5AA69181586F}">
  <dimension ref="A1:N74"/>
  <sheetViews>
    <sheetView topLeftCell="C1" zoomScale="115" zoomScaleNormal="90" workbookViewId="0">
      <selection activeCell="N4" sqref="N4"/>
    </sheetView>
  </sheetViews>
  <sheetFormatPr defaultColWidth="8.83984375" defaultRowHeight="14.4" outlineLevelRow="1" outlineLevelCol="1"/>
  <cols>
    <col min="1" max="1" width="8.15625" hidden="1" customWidth="1" outlineLevel="1"/>
    <col min="2" max="2" width="84.83984375" customWidth="1" collapsed="1"/>
    <col min="3" max="3" width="47" customWidth="1"/>
    <col min="4" max="4" width="31.83984375" customWidth="1"/>
    <col min="5" max="5" width="21.68359375" customWidth="1"/>
    <col min="7" max="7" width="12.41796875" customWidth="1"/>
    <col min="8" max="8" width="17.26171875" customWidth="1"/>
    <col min="10" max="10" width="25" customWidth="1"/>
    <col min="11" max="11" width="13" customWidth="1"/>
    <col min="13" max="13" width="26.41796875" customWidth="1"/>
    <col min="14" max="14" width="16" customWidth="1"/>
  </cols>
  <sheetData>
    <row r="1" spans="1:14">
      <c r="B1" s="3" t="s">
        <v>589</v>
      </c>
      <c r="C1" s="249" t="s">
        <v>590</v>
      </c>
      <c r="J1" s="3" t="s">
        <v>591</v>
      </c>
    </row>
    <row r="2" spans="1:14">
      <c r="J2" s="3" t="s">
        <v>592</v>
      </c>
      <c r="M2" s="3" t="s">
        <v>593</v>
      </c>
    </row>
    <row r="3" spans="1:14">
      <c r="A3" s="260" t="s">
        <v>594</v>
      </c>
      <c r="B3" s="400" t="s">
        <v>595</v>
      </c>
      <c r="C3" s="192">
        <f>'Data entry'!$C$16+'Data entry'!$C$16*'Data entry'!$C$23</f>
        <v>525</v>
      </c>
      <c r="D3" s="192">
        <f>'Data entry'!$F$16+'Data entry'!$F$16*'Data entry'!$F$23</f>
        <v>306</v>
      </c>
      <c r="E3" t="s">
        <v>596</v>
      </c>
      <c r="J3" t="s">
        <v>597</v>
      </c>
      <c r="K3" s="71">
        <f>'Data entry'!C20</f>
        <v>0.3</v>
      </c>
      <c r="M3" t="s">
        <v>597</v>
      </c>
      <c r="N3" s="71">
        <f>'Data entry'!F20</f>
        <v>0.3</v>
      </c>
    </row>
    <row r="4" spans="1:14">
      <c r="A4" s="257" t="s">
        <v>60</v>
      </c>
      <c r="B4" s="401"/>
      <c r="C4" s="192" t="str">
        <f>'Data entry'!$C$18</f>
        <v>MiSeq Reagent Kit v2 (300 cycle)</v>
      </c>
      <c r="D4" s="192" t="str">
        <f>'Data entry'!$F$18</f>
        <v>Other sequencing kit</v>
      </c>
      <c r="E4" t="s">
        <v>598</v>
      </c>
      <c r="J4" t="s">
        <v>599</v>
      </c>
      <c r="K4" s="531">
        <f>IFERROR(C15/C8,"")</f>
        <v>800000</v>
      </c>
      <c r="M4" t="s">
        <v>599</v>
      </c>
      <c r="N4">
        <f>IFERROR(D15/D8,"")</f>
        <v>25000</v>
      </c>
    </row>
    <row r="5" spans="1:14">
      <c r="A5" s="257" t="s">
        <v>600</v>
      </c>
      <c r="B5" s="401"/>
      <c r="C5" s="192" t="str">
        <f>'Data entry'!$C$14</f>
        <v>Salmonella spp.</v>
      </c>
      <c r="D5" s="192" t="str">
        <f>'Data entry'!$F$14</f>
        <v>Escherichia coli</v>
      </c>
      <c r="E5" t="s">
        <v>601</v>
      </c>
      <c r="J5" t="s">
        <v>602</v>
      </c>
      <c r="K5">
        <f>IF('Data entry'!C13='Annex1_Library Prep'!W5,
   IF('Data entry'!C15&lt;=0.03, 100000, 150000),
   IF('Data entry'!C13='Annex1_Library Prep'!W6,
      IF('Data entry'!C15&lt;=5, 750000, 1250000),
      IF('Data entry'!C13='Annex1_Library Prep'!W7, 'Data entry'!C41, 100000)
   )
)</f>
        <v>750000</v>
      </c>
      <c r="M5" t="s">
        <v>602</v>
      </c>
      <c r="N5">
        <f>IF('Data entry'!F13='Annex1_Library Prep'!W5,
   IF('Data entry'!F15&lt;=0.03, 100000, 150000),
   IF('Data entry'!F13='Annex1_Library Prep'!W6,
      IF('Data entry'!F15&lt;=5, 750000, 1250000),
      IF('Data entry'!F13='Annex1_Library Prep'!W7, 'Data entry'!F41, 100000)
   )
)</f>
        <v>750000</v>
      </c>
    </row>
    <row r="6" spans="1:14">
      <c r="A6" s="257"/>
      <c r="B6" s="401"/>
      <c r="C6" s="192" t="str">
        <f>'Data entry'!$C$21</f>
        <v>Illumina DNA Prep, (M) Tagmentation (96 Samples, IPB)</v>
      </c>
      <c r="D6" s="192" t="str">
        <f>'Data entry'!$F$21</f>
        <v>Other library preparation kit</v>
      </c>
      <c r="E6" t="s">
        <v>603</v>
      </c>
      <c r="J6" t="s">
        <v>604</v>
      </c>
      <c r="K6">
        <f>MAX(IF(ISNUMBER(K4), K4, 0), IF(ISNUMBER(K5), K5, 0))</f>
        <v>800000</v>
      </c>
      <c r="M6" t="s">
        <v>604</v>
      </c>
      <c r="N6">
        <f>MAX(IF(ISNUMBER(N4), N4, 0), IF(ISNUMBER(N5), N5, 0))</f>
        <v>750000</v>
      </c>
    </row>
    <row r="7" spans="1:14">
      <c r="A7" s="257">
        <v>1000</v>
      </c>
      <c r="B7" s="401"/>
      <c r="C7" s="286">
        <f>'Data entry'!$C$19</f>
        <v>50</v>
      </c>
      <c r="D7" s="286">
        <f>'Data entry'!$F$19</f>
        <v>50</v>
      </c>
      <c r="E7" s="9" t="s">
        <v>605</v>
      </c>
      <c r="J7" t="s">
        <v>606</v>
      </c>
      <c r="K7">
        <f>K6+K6*K3</f>
        <v>1040000</v>
      </c>
      <c r="M7" t="s">
        <v>606</v>
      </c>
      <c r="N7">
        <f>N6+N6*N3</f>
        <v>975000</v>
      </c>
    </row>
    <row r="8" spans="1:14" ht="15.75" customHeight="1">
      <c r="A8" s="257">
        <v>250</v>
      </c>
      <c r="B8" s="452" t="s">
        <v>607</v>
      </c>
      <c r="C8" s="286">
        <f>IF(OR('Data entry'!$C$18='Annex3_Reagents and Consumables'!$N$2, ISNUMBER(MATCH('Data entry'!$C$18,'Annex3_Reagents and Consumables'!$B$42:$B$58,0))),'Data entry'!$C$39,IFERROR(VLOOKUP($C$4,'Annex3_Reagents and Consumables'!$B$3:$J$83,6,FALSE),""))</f>
        <v>300</v>
      </c>
      <c r="D8" s="286">
        <f>IF(OR('Data entry'!$F$18='Annex3_Reagents and Consumables'!$O$2, ISNUMBER(MATCH('Data entry'!$F$18,'Annex3_Reagents and Consumables'!$B$42:$B$58,0))),'Data entry'!$F$39,IFERROR(VLOOKUP($D$4,'Annex3_Reagents and Consumables'!$B$3:$J$83,6,FALSE),""))</f>
        <v>10000</v>
      </c>
      <c r="E8" t="s">
        <v>608</v>
      </c>
    </row>
    <row r="9" spans="1:14">
      <c r="A9" s="257">
        <f>813000000</f>
        <v>813000000</v>
      </c>
      <c r="B9" s="402"/>
      <c r="C9" s="408">
        <f>IF('Data entry'!$C$18='Annex3_Reagents and Consumables'!$N$2,
    'Data entry'!C38/'Data entry'!C39,
    IF(ISNUMBER(MATCH('Data entry'!$C$18,'Annex3_Reagents and Consumables'!$B$42:$B$58,0)),
        VLOOKUP($C$4,'Annex3_Reagents and Consumables'!$B$3:$J$83,8,FALSE)/'Data entry'!$C$39,
        IFERROR(VLOOKUP($C$4,'Annex3_Reagents and Consumables'!$B$3:$J$83,7,FALSE),"")
    )
)</f>
        <v>15000000</v>
      </c>
      <c r="D9" s="408">
        <f>IF('Data entry'!$F$18='Annex3_Reagents and Consumables'!$O$2,
    'Data entry'!F38/'Data entry'!F39,
    IF(ISNUMBER(MATCH('Data entry'!$F$18,'Annex3_Reagents and Consumables'!$B$42:$B$58,0)),
        VLOOKUP($D$4,'Annex3_Reagents and Consumables'!$B$3:$J$83,8,FALSE)/'Data entry'!$F$39,
        IFERROR(VLOOKUP($D$4,'Annex3_Reagents and Consumables'!$B$3:$J$83,7,FALSE),"")
    )
)</f>
        <v>18000000</v>
      </c>
      <c r="E9" t="s">
        <v>609</v>
      </c>
    </row>
    <row r="10" spans="1:14">
      <c r="A10" s="257">
        <f>190000/1000000</f>
        <v>0.19</v>
      </c>
      <c r="B10" s="403"/>
      <c r="C10" s="286">
        <f>'Data entry'!$C$15</f>
        <v>4.8</v>
      </c>
      <c r="D10" s="286">
        <f>'Data entry'!$F$15</f>
        <v>5</v>
      </c>
      <c r="E10" t="s">
        <v>610</v>
      </c>
    </row>
    <row r="11" spans="1:14">
      <c r="A11" s="257"/>
      <c r="B11" s="403"/>
      <c r="C11" s="286">
        <f>IF('Data entry'!$C$21='Annex1_Library Prep'!$P$4,'Data entry'!$C$36,IFERROR(VLOOKUP($C$6,'Annex1_Library Prep'!$D$52:$L$200,7,FALSE),""))</f>
        <v>384</v>
      </c>
      <c r="D11" s="286">
        <f>IF('Data entry'!$F$21='Annex1_Library Prep'!$T$4,'Data entry'!$F$36,IFERROR(VLOOKUP($D$6,'Annex1_Library Prep'!$D$52:$L$200,7,FALSE),""))</f>
        <v>384</v>
      </c>
      <c r="E11" t="s">
        <v>611</v>
      </c>
    </row>
    <row r="12" spans="1:14">
      <c r="A12" s="257"/>
    </row>
    <row r="13" spans="1:14">
      <c r="A13" s="258">
        <v>1</v>
      </c>
    </row>
    <row r="14" spans="1:14" ht="14.7" thickBot="1">
      <c r="A14" s="258">
        <v>0</v>
      </c>
    </row>
    <row r="15" spans="1:14">
      <c r="A15" s="262">
        <f>($A$10*1000000*$A$7)/((1-$A$14)*A13)</f>
        <v>190000000</v>
      </c>
      <c r="B15" s="404"/>
      <c r="C15" s="409">
        <f>IFERROR(($C$10*1000000*$C$7)/((1-$C$14)),"")</f>
        <v>240000000</v>
      </c>
      <c r="D15" s="409">
        <f>IFERROR(($D$10*1000000*$D$7)/((1-$D$14)),"")</f>
        <v>250000000</v>
      </c>
      <c r="E15" s="3" t="s">
        <v>612</v>
      </c>
    </row>
    <row r="16" spans="1:14">
      <c r="A16" s="259">
        <f>A15/A8</f>
        <v>760000</v>
      </c>
      <c r="B16" s="404"/>
      <c r="C16" s="410">
        <f>K7</f>
        <v>1040000</v>
      </c>
      <c r="D16" s="410">
        <f>N7</f>
        <v>975000</v>
      </c>
      <c r="E16" t="s">
        <v>613</v>
      </c>
    </row>
    <row r="17" spans="1:10">
      <c r="A17" s="263">
        <f>A9/A16</f>
        <v>1069.7368421052631</v>
      </c>
      <c r="B17" s="405"/>
      <c r="C17" s="411">
        <f>IFERROR(ROUNDDOWN($C$9/$C$16, 0), "")</f>
        <v>14</v>
      </c>
      <c r="D17" s="411">
        <f>IFERROR(ROUNDDOWN($D$9/$D$16,0),"")</f>
        <v>18</v>
      </c>
      <c r="E17" s="3" t="s">
        <v>614</v>
      </c>
    </row>
    <row r="18" spans="1:10">
      <c r="A18" s="257"/>
      <c r="B18" s="406"/>
      <c r="C18" s="429"/>
      <c r="D18" s="429"/>
      <c r="E18" s="256"/>
    </row>
    <row r="19" spans="1:10">
      <c r="A19" s="257"/>
      <c r="B19" s="404"/>
      <c r="C19" s="411">
        <f>IFERROR(ROUNDDOWN((MIN($C$17,$C$11)-'Data entry'!$C$27),0),"")</f>
        <v>12</v>
      </c>
      <c r="D19" s="411">
        <f>IFERROR(ROUNDDOWN((MIN($D$17,$D$11)-'Data entry'!$F$27),0),"")</f>
        <v>16</v>
      </c>
      <c r="E19" s="265" t="s">
        <v>615</v>
      </c>
    </row>
    <row r="20" spans="1:10" ht="14.7" thickBot="1">
      <c r="A20" s="257"/>
      <c r="B20" s="407" t="s">
        <v>616</v>
      </c>
      <c r="C20" s="203">
        <f>IFERROR(ROUNDUP($C$3/$C$19,0),"")</f>
        <v>44</v>
      </c>
      <c r="D20" s="203">
        <f>IFERROR(ROUNDUP($D$3/$D$19,0),"")</f>
        <v>20</v>
      </c>
      <c r="E20" s="9" t="s">
        <v>617</v>
      </c>
    </row>
    <row r="21" spans="1:10" ht="15.75" customHeight="1">
      <c r="A21" s="257" t="s">
        <v>618</v>
      </c>
      <c r="B21" s="403"/>
      <c r="C21" s="506">
        <f>IF('Data entry'!$C$18 = 'Annex3_Reagents and Consumables'!$N$2,
    ROUNDUP($C$20 * 'Data entry'!$C$40, 0),
    ROUNDUP($C$20 * VLOOKUP($C$4, 'Annex3_Reagents and Consumables'!$B$3:$J$83, 3, FALSE), 0)
)</f>
        <v>44</v>
      </c>
      <c r="D21" s="506">
        <f>IF( 'Data entry'!$F$18 = 'Annex3_Reagents and Consumables'!$O$2,
    ROUNDUP($D$20 * 'Data entry'!$F$40, 0),
    ROUNDUP($D$20 * VLOOKUP($D$4, 'Annex3_Reagents and Consumables'!$B$3:$J$83, 3, FALSE), 0)
)</f>
        <v>20</v>
      </c>
      <c r="E21" s="265" t="s">
        <v>619</v>
      </c>
    </row>
    <row r="22" spans="1:10" ht="15.75" customHeight="1">
      <c r="A22" s="257"/>
      <c r="B22" s="403"/>
      <c r="C22" s="508">
        <f>IF('Data entry'!$C$18 = 'Annex3_Reagents and Consumables'!$N$2,
    ROUNDUP('Data entry'!$C$28 * 'Data entry'!$C$40, 0),
    ROUNDUP('Data entry'!$C$28 * VLOOKUP($C$4, 'Annex3_Reagents and Consumables'!$B$3:$J$83, 3, FALSE), 0)
)</f>
        <v>53</v>
      </c>
      <c r="D22" s="508">
        <f>IF( 'Data entry'!$F$18 = 'Annex3_Reagents and Consumables'!$O$2,
    ROUNDUP('Data entry'!$F$28 * 'Data entry'!$F$40, 0),
    ROUNDUP('Data entry'!$F$28 * VLOOKUP($D$4, 'Annex3_Reagents and Consumables'!$B$3:$J$83, 3, FALSE), 0)
)</f>
        <v>21</v>
      </c>
      <c r="E22" s="265" t="s">
        <v>620</v>
      </c>
    </row>
    <row r="23" spans="1:10">
      <c r="A23" s="257" t="s">
        <v>621</v>
      </c>
      <c r="B23" s="403" t="s">
        <v>622</v>
      </c>
      <c r="C23" s="507">
        <f>IF(
    'Data entry'!$C$21 = 'Annex1_Library Prep'!$P$4,
    ROUNDUP($C$3 / 'Data entry'!$C$37, 0),
    IFERROR(ROUNDUP($C$3 / VLOOKUP($C$6, 'Annex1_Library Prep'!$D$52:$L$200, 4, FALSE), 0), "")
)</f>
        <v>6</v>
      </c>
      <c r="D23" s="507">
        <f>IF(
    'Data entry'!$F$21 = 'Annex1_Library Prep'!$T$4,
    ROUNDUP($D$3 / 'Data entry'!$F$37, 0),
    IFERROR(ROUNDUP($D$3 / VLOOKUP($D$6, 'Annex1_Library Prep'!$D$52:$L$200, 4, FALSE), 0), "")
)</f>
        <v>4</v>
      </c>
      <c r="E23" s="265" t="s">
        <v>623</v>
      </c>
    </row>
    <row r="24" spans="1:10" ht="14.7" thickBot="1">
      <c r="B24" s="401"/>
      <c r="C24" s="254"/>
      <c r="D24" s="254"/>
      <c r="E24" s="264" t="s">
        <v>624</v>
      </c>
    </row>
    <row r="25" spans="1:10">
      <c r="J25" s="8"/>
    </row>
    <row r="26" spans="1:10" ht="33" customHeight="1">
      <c r="A26" s="6"/>
      <c r="C26" s="246" t="s">
        <v>625</v>
      </c>
      <c r="D26" s="247" t="s">
        <v>626</v>
      </c>
      <c r="E26" s="248" t="s">
        <v>627</v>
      </c>
      <c r="F26" s="247" t="s">
        <v>628</v>
      </c>
      <c r="G26" s="247" t="s">
        <v>629</v>
      </c>
    </row>
    <row r="27" spans="1:10">
      <c r="A27" s="6"/>
      <c r="B27" s="266"/>
      <c r="C27" s="197" t="s">
        <v>630</v>
      </c>
      <c r="D27" s="198" t="s">
        <v>631</v>
      </c>
      <c r="E27" s="199" t="s">
        <v>632</v>
      </c>
      <c r="F27" s="200">
        <v>1.4500000000000001E-2</v>
      </c>
      <c r="G27" s="290">
        <v>100</v>
      </c>
    </row>
    <row r="28" spans="1:10">
      <c r="A28" s="6"/>
      <c r="B28" s="268"/>
      <c r="C28" s="197" t="s">
        <v>633</v>
      </c>
      <c r="D28" s="198" t="s">
        <v>631</v>
      </c>
      <c r="E28" s="199" t="s">
        <v>634</v>
      </c>
      <c r="F28" s="449">
        <v>0.2</v>
      </c>
      <c r="G28" s="290">
        <v>100</v>
      </c>
    </row>
    <row r="29" spans="1:10">
      <c r="A29" s="6"/>
      <c r="B29" s="268"/>
      <c r="C29" s="197" t="s">
        <v>635</v>
      </c>
      <c r="D29" s="198" t="s">
        <v>631</v>
      </c>
      <c r="E29" s="199" t="s">
        <v>632</v>
      </c>
      <c r="F29" s="199">
        <v>1.0699999999999999E-2</v>
      </c>
      <c r="G29" s="290">
        <v>100</v>
      </c>
    </row>
    <row r="30" spans="1:10">
      <c r="A30" s="6"/>
      <c r="C30" s="197" t="s">
        <v>636</v>
      </c>
      <c r="D30" s="198" t="s">
        <v>631</v>
      </c>
      <c r="E30" s="199" t="s">
        <v>632</v>
      </c>
      <c r="F30" s="199">
        <v>1.2E-2</v>
      </c>
      <c r="G30" s="290">
        <v>100</v>
      </c>
    </row>
    <row r="31" spans="1:10">
      <c r="A31" s="6"/>
      <c r="C31" s="197" t="s">
        <v>637</v>
      </c>
      <c r="D31" s="198" t="s">
        <v>631</v>
      </c>
      <c r="E31" s="199" t="s">
        <v>632</v>
      </c>
      <c r="F31" s="199">
        <v>1.52E-2</v>
      </c>
      <c r="G31" s="290">
        <v>100</v>
      </c>
    </row>
    <row r="32" spans="1:10">
      <c r="A32" s="6"/>
      <c r="C32" s="197" t="s">
        <v>638</v>
      </c>
      <c r="D32" s="198" t="s">
        <v>631</v>
      </c>
      <c r="E32" s="199" t="s">
        <v>632</v>
      </c>
      <c r="F32" s="199">
        <v>1.0800000000000001E-2</v>
      </c>
      <c r="G32" s="290">
        <v>100</v>
      </c>
    </row>
    <row r="33" spans="1:8">
      <c r="A33" s="6"/>
      <c r="C33" s="197" t="s">
        <v>639</v>
      </c>
      <c r="D33" s="198" t="s">
        <v>631</v>
      </c>
      <c r="E33" s="199" t="s">
        <v>632</v>
      </c>
      <c r="F33" s="199">
        <v>1.89E-2</v>
      </c>
      <c r="G33" s="290">
        <v>100</v>
      </c>
    </row>
    <row r="34" spans="1:8">
      <c r="A34" s="255"/>
      <c r="C34" s="197" t="s">
        <v>640</v>
      </c>
      <c r="D34" s="198" t="s">
        <v>631</v>
      </c>
      <c r="E34" s="199" t="s">
        <v>632</v>
      </c>
      <c r="F34" s="199">
        <v>9.75E-3</v>
      </c>
      <c r="G34" s="290">
        <v>100</v>
      </c>
    </row>
    <row r="35" spans="1:8">
      <c r="B35" s="21"/>
      <c r="C35" s="197" t="s">
        <v>641</v>
      </c>
      <c r="D35" s="198" t="s">
        <v>631</v>
      </c>
      <c r="E35" s="199" t="s">
        <v>632</v>
      </c>
      <c r="F35" s="199">
        <v>1.9199999999999998E-2</v>
      </c>
      <c r="G35" s="290">
        <v>100</v>
      </c>
    </row>
    <row r="36" spans="1:8">
      <c r="B36" s="21"/>
      <c r="C36" s="197" t="s">
        <v>642</v>
      </c>
      <c r="D36" s="198" t="s">
        <v>631</v>
      </c>
      <c r="E36" s="199" t="s">
        <v>634</v>
      </c>
      <c r="F36" s="199">
        <v>4.4999999999999998E-2</v>
      </c>
      <c r="G36" s="290">
        <v>100</v>
      </c>
    </row>
    <row r="37" spans="1:8">
      <c r="B37" s="261"/>
      <c r="C37" s="289" t="s">
        <v>643</v>
      </c>
      <c r="D37" s="198" t="s">
        <v>631</v>
      </c>
      <c r="E37" s="199" t="s">
        <v>632</v>
      </c>
      <c r="F37" s="199">
        <v>7.4999999999999997E-3</v>
      </c>
      <c r="G37" s="290">
        <v>100</v>
      </c>
    </row>
    <row r="38" spans="1:8">
      <c r="B38" s="261"/>
      <c r="C38" s="197" t="s">
        <v>644</v>
      </c>
      <c r="D38" s="198" t="s">
        <v>631</v>
      </c>
      <c r="E38" s="199" t="s">
        <v>632</v>
      </c>
      <c r="F38" s="199">
        <v>0.03</v>
      </c>
      <c r="G38" s="199">
        <v>10</v>
      </c>
    </row>
    <row r="39" spans="1:8">
      <c r="B39" s="261"/>
      <c r="C39" s="291" t="s">
        <v>645</v>
      </c>
      <c r="D39" s="291" t="s">
        <v>631</v>
      </c>
      <c r="E39" s="292"/>
      <c r="F39" s="292" t="s">
        <v>646</v>
      </c>
      <c r="G39" s="292" t="s">
        <v>646</v>
      </c>
    </row>
    <row r="40" spans="1:8">
      <c r="B40" s="266"/>
      <c r="C40" s="455" t="s">
        <v>647</v>
      </c>
      <c r="D40" s="201" t="s">
        <v>261</v>
      </c>
      <c r="E40" s="202" t="s">
        <v>634</v>
      </c>
      <c r="F40" s="202">
        <v>4.4000000000000004</v>
      </c>
      <c r="G40" s="457">
        <v>50</v>
      </c>
      <c r="H40" s="430" t="s">
        <v>648</v>
      </c>
    </row>
    <row r="41" spans="1:8">
      <c r="B41" s="266"/>
      <c r="C41" s="455" t="s">
        <v>649</v>
      </c>
      <c r="D41" s="201" t="s">
        <v>261</v>
      </c>
      <c r="E41" s="202" t="s">
        <v>634</v>
      </c>
      <c r="F41" s="292" t="s">
        <v>646</v>
      </c>
      <c r="G41" s="457">
        <v>300</v>
      </c>
      <c r="H41" s="430"/>
    </row>
    <row r="42" spans="1:8">
      <c r="C42" s="456" t="s">
        <v>650</v>
      </c>
      <c r="D42" s="201" t="s">
        <v>261</v>
      </c>
      <c r="E42" s="202" t="s">
        <v>634</v>
      </c>
      <c r="F42" s="202">
        <v>4.8</v>
      </c>
      <c r="G42" s="202">
        <v>50</v>
      </c>
    </row>
    <row r="43" spans="1:8">
      <c r="B43" s="266"/>
      <c r="C43" s="456" t="s">
        <v>651</v>
      </c>
      <c r="D43" s="201" t="s">
        <v>261</v>
      </c>
      <c r="E43" s="202" t="s">
        <v>634</v>
      </c>
      <c r="F43" s="202">
        <v>5</v>
      </c>
      <c r="G43" s="202">
        <v>50</v>
      </c>
    </row>
    <row r="44" spans="1:8">
      <c r="C44" s="291" t="s">
        <v>652</v>
      </c>
      <c r="D44" s="291" t="s">
        <v>261</v>
      </c>
      <c r="E44" s="65"/>
      <c r="F44" s="292" t="s">
        <v>646</v>
      </c>
      <c r="G44" s="292" t="s">
        <v>646</v>
      </c>
    </row>
    <row r="45" spans="1:8">
      <c r="C45" s="2" t="s">
        <v>75</v>
      </c>
      <c r="D45" s="2"/>
      <c r="E45" s="2"/>
      <c r="F45" s="2" t="str">
        <f>""</f>
        <v/>
      </c>
      <c r="G45" s="2" t="str">
        <f>""</f>
        <v/>
      </c>
    </row>
    <row r="49" spans="2:6" hidden="1" outlineLevel="1">
      <c r="B49" t="s">
        <v>653</v>
      </c>
    </row>
    <row r="50" spans="2:6" hidden="1" outlineLevel="1">
      <c r="B50" s="8" t="s">
        <v>654</v>
      </c>
    </row>
    <row r="51" spans="2:6" hidden="1" outlineLevel="1">
      <c r="B51" t="s">
        <v>655</v>
      </c>
      <c r="C51" t="s">
        <v>656</v>
      </c>
    </row>
    <row r="52" spans="2:6" hidden="1" outlineLevel="1">
      <c r="B52" t="s">
        <v>657</v>
      </c>
      <c r="C52" t="s">
        <v>658</v>
      </c>
    </row>
    <row r="53" spans="2:6" hidden="1" outlineLevel="1">
      <c r="B53" t="s">
        <v>659</v>
      </c>
    </row>
    <row r="54" spans="2:6" hidden="1" outlineLevel="1"/>
    <row r="55" spans="2:6" hidden="1" outlineLevel="1">
      <c r="C55" s="273" t="s">
        <v>660</v>
      </c>
      <c r="D55" s="274" t="s">
        <v>661</v>
      </c>
      <c r="E55" s="274" t="s">
        <v>662</v>
      </c>
      <c r="F55" s="274" t="s">
        <v>663</v>
      </c>
    </row>
    <row r="56" spans="2:6" hidden="1" outlineLevel="1">
      <c r="C56" s="271" t="s">
        <v>664</v>
      </c>
      <c r="D56" s="196" t="s">
        <v>665</v>
      </c>
      <c r="E56" s="196"/>
    </row>
    <row r="57" spans="2:6" hidden="1" outlineLevel="1">
      <c r="C57" s="271" t="s">
        <v>666</v>
      </c>
      <c r="D57" s="196" t="s">
        <v>665</v>
      </c>
      <c r="E57" s="196"/>
    </row>
    <row r="58" spans="2:6" hidden="1" outlineLevel="1">
      <c r="C58" s="271" t="s">
        <v>667</v>
      </c>
      <c r="D58" s="196" t="s">
        <v>665</v>
      </c>
      <c r="E58" s="196"/>
    </row>
    <row r="59" spans="2:6" hidden="1" outlineLevel="1">
      <c r="C59" s="271"/>
      <c r="D59" s="196"/>
      <c r="E59" s="196"/>
    </row>
    <row r="60" spans="2:6" hidden="1" outlineLevel="1">
      <c r="C60" s="271" t="s">
        <v>668</v>
      </c>
      <c r="D60" s="196" t="s">
        <v>665</v>
      </c>
      <c r="E60" s="196"/>
    </row>
    <row r="61" spans="2:6" hidden="1" outlineLevel="1">
      <c r="C61" s="271" t="s">
        <v>669</v>
      </c>
      <c r="D61" s="196" t="s">
        <v>665</v>
      </c>
      <c r="E61" s="196"/>
    </row>
    <row r="62" spans="2:6" hidden="1" outlineLevel="1">
      <c r="C62" s="271" t="s">
        <v>670</v>
      </c>
      <c r="D62" s="196"/>
      <c r="E62" s="196"/>
    </row>
    <row r="63" spans="2:6" hidden="1" outlineLevel="1">
      <c r="C63" s="271" t="s">
        <v>671</v>
      </c>
      <c r="D63" s="196" t="s">
        <v>665</v>
      </c>
      <c r="E63" s="196"/>
    </row>
    <row r="64" spans="2:6" ht="60.3" hidden="1" outlineLevel="1">
      <c r="C64" s="271" t="s">
        <v>672</v>
      </c>
      <c r="D64" s="284" t="s">
        <v>673</v>
      </c>
      <c r="E64" s="285" t="s">
        <v>674</v>
      </c>
    </row>
    <row r="65" spans="2:5" hidden="1" outlineLevel="1">
      <c r="C65" s="271" t="s">
        <v>675</v>
      </c>
      <c r="D65" s="196"/>
      <c r="E65" s="196"/>
    </row>
    <row r="66" spans="2:5" hidden="1" outlineLevel="1">
      <c r="C66" s="271" t="s">
        <v>676</v>
      </c>
      <c r="D66" s="196"/>
      <c r="E66" s="196"/>
    </row>
    <row r="67" spans="2:5" hidden="1" outlineLevel="1">
      <c r="C67" s="272"/>
      <c r="D67" s="196"/>
      <c r="E67" s="196"/>
    </row>
    <row r="68" spans="2:5" hidden="1" outlineLevel="1">
      <c r="C68" s="272" t="s">
        <v>177</v>
      </c>
      <c r="D68" s="196"/>
      <c r="E68" s="196"/>
    </row>
    <row r="69" spans="2:5" hidden="1" outlineLevel="1">
      <c r="C69" s="272" t="s">
        <v>677</v>
      </c>
      <c r="D69" s="196"/>
      <c r="E69" s="196"/>
    </row>
    <row r="70" spans="2:5" hidden="1" outlineLevel="1">
      <c r="C70" s="272" t="s">
        <v>678</v>
      </c>
      <c r="D70" s="196"/>
      <c r="E70" s="196"/>
    </row>
    <row r="71" spans="2:5" hidden="1" outlineLevel="1">
      <c r="C71" s="272"/>
      <c r="D71" s="196"/>
      <c r="E71" s="196"/>
    </row>
    <row r="72" spans="2:5" hidden="1" outlineLevel="1"/>
    <row r="73" spans="2:5" hidden="1" outlineLevel="1">
      <c r="B73" t="s">
        <v>679</v>
      </c>
      <c r="C73" s="249" t="s">
        <v>680</v>
      </c>
    </row>
    <row r="74" spans="2:5" collapsed="1"/>
  </sheetData>
  <sheetProtection algorithmName="SHA-512" hashValue="4i1SC8za5Czd2muw+kA0KYD2X4dDQfXxzTQzdJ07/c5+gUdRzb0zIkj7vN0+ivu8GXouqJ0z/wXpk8SX6XUlBA==" saltValue="H8YA9Ix/uGoKLTofuiFB6Q==" spinCount="100000" sheet="1" objects="1" scenarios="1" formatColumns="0" formatRows="0"/>
  <hyperlinks>
    <hyperlink ref="C1" r:id="rId1" xr:uid="{7B3C1D50-A675-4B0C-91EB-E49407C797DD}"/>
    <hyperlink ref="C73" r:id="rId2" xr:uid="{1FAE87F5-905B-401B-BBC5-B90F535A6CAC}"/>
    <hyperlink ref="H40" r:id="rId3" xr:uid="{8C13C37A-004F-47A8-BC61-F213D20331BE}"/>
  </hyperlinks>
  <pageMargins left="0.7" right="0.7" top="0.75" bottom="0.75" header="0.3" footer="0.3"/>
  <pageSetup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B73D-1694-4330-A338-9A7AE064D712}">
  <dimension ref="A1:G500"/>
  <sheetViews>
    <sheetView topLeftCell="B422" zoomScale="85" zoomScaleNormal="85" workbookViewId="0">
      <selection activeCell="D424" sqref="D424"/>
    </sheetView>
  </sheetViews>
  <sheetFormatPr defaultColWidth="8.83984375" defaultRowHeight="14.4"/>
  <cols>
    <col min="1" max="1" width="9.41796875" bestFit="1" customWidth="1"/>
    <col min="2" max="2" width="55.41796875" style="6" customWidth="1"/>
    <col min="3" max="3" width="71.41796875" style="6" customWidth="1"/>
    <col min="4" max="4" width="102.26171875" style="6" customWidth="1"/>
    <col min="5" max="5" width="71.41796875" style="6" customWidth="1"/>
    <col min="6" max="6" width="69.26171875" customWidth="1"/>
    <col min="7" max="7" width="32.83984375" customWidth="1"/>
  </cols>
  <sheetData>
    <row r="1" spans="1:7" ht="28.8">
      <c r="A1" s="85" t="s">
        <v>681</v>
      </c>
      <c r="B1" s="6" t="str">
        <f>Cover!$D$8</f>
        <v>English</v>
      </c>
    </row>
    <row r="2" spans="1:7">
      <c r="A2" s="85"/>
      <c r="B2" s="6">
        <f>IF(B1=C3,C2,IF(B1=D3,D2,IF(B1=E3,E2,IF(B1=F3,F2,IF(B1=G3,G2,C2)))))</f>
        <v>1</v>
      </c>
      <c r="C2" s="6">
        <v>1</v>
      </c>
      <c r="D2" s="6">
        <v>2</v>
      </c>
      <c r="E2" s="6">
        <v>3</v>
      </c>
      <c r="F2">
        <v>4</v>
      </c>
      <c r="G2" s="6">
        <v>5</v>
      </c>
    </row>
    <row r="3" spans="1:7">
      <c r="B3" s="6" t="str">
        <f>IF(B1=C3,C3,IF(B1=D3,D3,IF(B1=E3,E3,IF(B1=F3,F3,IF(B1=G3,G3,C3)))))</f>
        <v>English</v>
      </c>
      <c r="C3" s="6" t="s">
        <v>0</v>
      </c>
      <c r="D3" s="6" t="s">
        <v>682</v>
      </c>
      <c r="E3" s="6" t="s">
        <v>683</v>
      </c>
      <c r="F3" t="s">
        <v>684</v>
      </c>
      <c r="G3" s="6" t="s">
        <v>685</v>
      </c>
    </row>
    <row r="4" spans="1:7">
      <c r="A4" s="85">
        <f t="shared" ref="A4:A67" si="0">$B$2</f>
        <v>1</v>
      </c>
      <c r="B4" s="6" t="str">
        <f>IF($B$2=1,C4,IF($B$2=2,D4,IF($B$2=3,E4,F4)))</f>
        <v>Select language ☛</v>
      </c>
      <c r="C4" s="6" t="s">
        <v>686</v>
      </c>
      <c r="D4" s="6" t="s">
        <v>687</v>
      </c>
      <c r="E4" s="6" t="s">
        <v>688</v>
      </c>
      <c r="F4" s="6" t="s">
        <v>689</v>
      </c>
    </row>
    <row r="5" spans="1:7">
      <c r="A5" s="85">
        <f t="shared" si="0"/>
        <v>1</v>
      </c>
      <c r="B5" s="6" t="str">
        <f>IF($B$2=1,C5,IF($B$2=2,D5,IF($B$2=3,E5,F5)))</f>
        <v>Genomics costing tool, second edition</v>
      </c>
      <c r="C5" s="6" t="s">
        <v>690</v>
      </c>
      <c r="D5" s="6" t="s">
        <v>691</v>
      </c>
      <c r="E5" s="6" t="s">
        <v>692</v>
      </c>
      <c r="F5" s="6" t="s">
        <v>693</v>
      </c>
    </row>
    <row r="6" spans="1:7">
      <c r="A6" s="85">
        <f t="shared" si="0"/>
        <v>1</v>
      </c>
      <c r="B6" s="6" t="str">
        <f>IF($B$2=1,C6,IF($B$2=2,D6,IF($B$2=3,E6,F6)))</f>
        <v>User inputs</v>
      </c>
      <c r="C6" s="6" t="s">
        <v>694</v>
      </c>
      <c r="D6" s="6" t="s">
        <v>695</v>
      </c>
      <c r="E6" s="6" t="s">
        <v>696</v>
      </c>
      <c r="F6" s="6" t="s">
        <v>697</v>
      </c>
    </row>
    <row r="7" spans="1:7">
      <c r="A7" s="85">
        <f t="shared" si="0"/>
        <v>1</v>
      </c>
      <c r="B7" s="6" t="str">
        <f t="shared" ref="B7:B68" si="1">IF($B$2=1,C7,IF($B$2=2,D7,IF($B$2=3,E7,F7)))</f>
        <v>Name of the laboratory</v>
      </c>
      <c r="C7" s="6" t="s">
        <v>698</v>
      </c>
      <c r="D7" s="6" t="s">
        <v>699</v>
      </c>
      <c r="E7" s="6" t="s">
        <v>700</v>
      </c>
      <c r="F7" s="6" t="s">
        <v>701</v>
      </c>
    </row>
    <row r="8" spans="1:7">
      <c r="A8" s="85">
        <f t="shared" si="0"/>
        <v>1</v>
      </c>
      <c r="B8" s="6" t="str">
        <f t="shared" si="1"/>
        <v>Country</v>
      </c>
      <c r="C8" s="6" t="s">
        <v>702</v>
      </c>
      <c r="D8" s="6" t="s">
        <v>703</v>
      </c>
      <c r="E8" s="6" t="s">
        <v>704</v>
      </c>
      <c r="F8" s="6" t="s">
        <v>705</v>
      </c>
    </row>
    <row r="9" spans="1:7">
      <c r="A9" s="85">
        <f t="shared" si="0"/>
        <v>1</v>
      </c>
      <c r="B9" s="6" t="str">
        <f t="shared" si="1"/>
        <v>Year</v>
      </c>
      <c r="C9" s="6" t="s">
        <v>706</v>
      </c>
      <c r="D9" s="6" t="s">
        <v>707</v>
      </c>
      <c r="E9" s="6" t="s">
        <v>708</v>
      </c>
      <c r="F9" s="6" t="s">
        <v>709</v>
      </c>
    </row>
    <row r="10" spans="1:7">
      <c r="A10" s="85">
        <f t="shared" si="0"/>
        <v>1</v>
      </c>
      <c r="B10" s="6" t="str">
        <f t="shared" si="1"/>
        <v>Currency</v>
      </c>
      <c r="C10" s="6" t="s">
        <v>710</v>
      </c>
      <c r="D10" s="6" t="s">
        <v>711</v>
      </c>
      <c r="E10" s="6" t="s">
        <v>712</v>
      </c>
      <c r="F10" s="6" t="s">
        <v>713</v>
      </c>
    </row>
    <row r="11" spans="1:7">
      <c r="A11" s="85">
        <f t="shared" si="0"/>
        <v>1</v>
      </c>
      <c r="B11" s="6" t="str">
        <f t="shared" si="1"/>
        <v>Sequencing method</v>
      </c>
      <c r="C11" s="6" t="s">
        <v>55</v>
      </c>
      <c r="D11" s="6" t="s">
        <v>714</v>
      </c>
      <c r="E11" s="6" t="s">
        <v>715</v>
      </c>
      <c r="F11" s="6" t="s">
        <v>716</v>
      </c>
    </row>
    <row r="12" spans="1:7">
      <c r="A12" s="85">
        <f t="shared" si="0"/>
        <v>1</v>
      </c>
      <c r="B12" s="6" t="str">
        <f t="shared" si="1"/>
        <v>Pathogen</v>
      </c>
      <c r="C12" s="6" t="s">
        <v>625</v>
      </c>
      <c r="D12" s="6" t="s">
        <v>717</v>
      </c>
      <c r="E12" s="6" t="s">
        <v>718</v>
      </c>
      <c r="F12" s="6" t="s">
        <v>719</v>
      </c>
    </row>
    <row r="13" spans="1:7">
      <c r="A13" s="85">
        <f t="shared" si="0"/>
        <v>1</v>
      </c>
      <c r="B13" s="6" t="str">
        <f t="shared" si="1"/>
        <v>Sample type</v>
      </c>
      <c r="C13" s="6" t="s">
        <v>720</v>
      </c>
      <c r="D13" s="6" t="s">
        <v>721</v>
      </c>
      <c r="E13" s="6" t="s">
        <v>722</v>
      </c>
      <c r="F13" s="6" t="s">
        <v>723</v>
      </c>
    </row>
    <row r="14" spans="1:7">
      <c r="A14" s="85">
        <f t="shared" si="0"/>
        <v>1</v>
      </c>
      <c r="B14" s="6" t="str">
        <f t="shared" si="1"/>
        <v>Estimated number of samples per year</v>
      </c>
      <c r="C14" s="6" t="s">
        <v>724</v>
      </c>
      <c r="D14" s="6" t="s">
        <v>725</v>
      </c>
      <c r="E14" s="6" t="s">
        <v>726</v>
      </c>
      <c r="F14" s="6" t="s">
        <v>727</v>
      </c>
    </row>
    <row r="15" spans="1:7">
      <c r="A15" s="85">
        <f t="shared" si="0"/>
        <v>1</v>
      </c>
      <c r="B15" s="6" t="str">
        <f t="shared" si="1"/>
        <v>Next-generation sequencing platform</v>
      </c>
      <c r="C15" s="6" t="s">
        <v>728</v>
      </c>
      <c r="D15" s="6" t="s">
        <v>729</v>
      </c>
      <c r="E15" s="6" t="s">
        <v>730</v>
      </c>
      <c r="F15" s="6" t="s">
        <v>731</v>
      </c>
    </row>
    <row r="16" spans="1:7">
      <c r="A16" s="85">
        <f t="shared" si="0"/>
        <v>1</v>
      </c>
      <c r="B16" s="6" t="str">
        <f t="shared" si="1"/>
        <v>Sequencing reagents</v>
      </c>
      <c r="C16" s="6" t="s">
        <v>369</v>
      </c>
      <c r="D16" s="6" t="s">
        <v>732</v>
      </c>
      <c r="E16" s="6" t="s">
        <v>733</v>
      </c>
      <c r="F16" s="6" t="s">
        <v>734</v>
      </c>
    </row>
    <row r="17" spans="1:6" ht="28.8">
      <c r="A17" s="85">
        <f t="shared" si="0"/>
        <v>1</v>
      </c>
      <c r="B17" s="6" t="str">
        <f t="shared" si="1"/>
        <v>Maximum number of samples per flow cell 
(within library preparation barcoding limit)</v>
      </c>
      <c r="C17" s="6" t="s">
        <v>735</v>
      </c>
      <c r="D17" s="6" t="s">
        <v>736</v>
      </c>
      <c r="E17" s="6" t="s">
        <v>737</v>
      </c>
      <c r="F17" s="6" t="s">
        <v>738</v>
      </c>
    </row>
    <row r="18" spans="1:6">
      <c r="A18" s="85">
        <f t="shared" si="0"/>
        <v>1</v>
      </c>
      <c r="B18" s="6" t="str">
        <f t="shared" si="1"/>
        <v>Number of working weeks for NGS runs per year</v>
      </c>
      <c r="C18" s="6" t="s">
        <v>739</v>
      </c>
      <c r="D18" s="6" t="s">
        <v>740</v>
      </c>
      <c r="E18" s="6" t="s">
        <v>741</v>
      </c>
      <c r="F18" s="6" t="s">
        <v>742</v>
      </c>
    </row>
    <row r="19" spans="1:6">
      <c r="A19" s="85">
        <f t="shared" si="0"/>
        <v>1</v>
      </c>
      <c r="B19" s="6" t="str">
        <f t="shared" si="1"/>
        <v>Number of samples per working week to reach annual throughput</v>
      </c>
      <c r="C19" s="6" t="s">
        <v>743</v>
      </c>
      <c r="D19" s="6" t="s">
        <v>744</v>
      </c>
      <c r="E19" s="6" t="s">
        <v>745</v>
      </c>
      <c r="F19" s="6" t="s">
        <v>746</v>
      </c>
    </row>
    <row r="20" spans="1:6">
      <c r="A20" s="85">
        <f t="shared" si="0"/>
        <v>1</v>
      </c>
      <c r="B20" s="6" t="str">
        <f t="shared" si="1"/>
        <v>Number of sequencing runs needed per working week</v>
      </c>
      <c r="C20" s="6" t="s">
        <v>747</v>
      </c>
      <c r="D20" s="6" t="s">
        <v>748</v>
      </c>
      <c r="E20" s="6" t="s">
        <v>749</v>
      </c>
      <c r="F20" s="6" t="s">
        <v>750</v>
      </c>
    </row>
    <row r="21" spans="1:6">
      <c r="A21" s="85">
        <f t="shared" si="0"/>
        <v>1</v>
      </c>
      <c r="B21" s="6" t="str">
        <f t="shared" si="1"/>
        <v>% sequencer loading capacity (per run)</v>
      </c>
      <c r="C21" s="6" t="s">
        <v>751</v>
      </c>
      <c r="D21" s="6" t="s">
        <v>752</v>
      </c>
      <c r="E21" s="6" t="s">
        <v>753</v>
      </c>
      <c r="F21" s="6" t="s">
        <v>754</v>
      </c>
    </row>
    <row r="22" spans="1:6">
      <c r="A22" s="85">
        <f t="shared" si="0"/>
        <v>1</v>
      </c>
      <c r="B22" s="6" t="str">
        <f t="shared" si="1"/>
        <v>Library preparation/index kit</v>
      </c>
      <c r="C22" s="6" t="s">
        <v>755</v>
      </c>
      <c r="D22" s="6" t="s">
        <v>756</v>
      </c>
      <c r="E22" s="6" t="s">
        <v>757</v>
      </c>
      <c r="F22" s="6" t="s">
        <v>758</v>
      </c>
    </row>
    <row r="23" spans="1:6">
      <c r="A23" s="85">
        <f t="shared" si="0"/>
        <v>1</v>
      </c>
      <c r="B23" s="6" t="str">
        <f t="shared" si="1"/>
        <v>Bioinformatics</v>
      </c>
      <c r="C23" s="6" t="s">
        <v>58</v>
      </c>
      <c r="D23" s="6" t="s">
        <v>759</v>
      </c>
      <c r="E23" s="6" t="s">
        <v>760</v>
      </c>
      <c r="F23" s="6" t="s">
        <v>761</v>
      </c>
    </row>
    <row r="24" spans="1:6">
      <c r="A24" s="85">
        <f t="shared" si="0"/>
        <v>1</v>
      </c>
      <c r="B24" s="6" t="str">
        <f t="shared" si="1"/>
        <v>Sample retests (sequencing) (%)</v>
      </c>
      <c r="C24" s="6" t="s">
        <v>762</v>
      </c>
      <c r="D24" s="6" t="s">
        <v>763</v>
      </c>
      <c r="E24" s="6" t="s">
        <v>764</v>
      </c>
      <c r="F24" s="6" t="s">
        <v>765</v>
      </c>
    </row>
    <row r="25" spans="1:6">
      <c r="A25" s="85">
        <f t="shared" si="0"/>
        <v>1</v>
      </c>
      <c r="B25" s="6" t="str">
        <f t="shared" si="1"/>
        <v>USD</v>
      </c>
      <c r="C25" s="6" t="s">
        <v>766</v>
      </c>
      <c r="D25" s="6" t="s">
        <v>767</v>
      </c>
      <c r="E25" s="6" t="s">
        <v>768</v>
      </c>
      <c r="F25" s="6" t="s">
        <v>766</v>
      </c>
    </row>
    <row r="26" spans="1:6">
      <c r="A26" s="85">
        <f t="shared" si="0"/>
        <v>1</v>
      </c>
      <c r="B26" s="6" t="str">
        <f t="shared" si="1"/>
        <v xml:space="preserve">NGS </v>
      </c>
      <c r="C26" s="6" t="s">
        <v>769</v>
      </c>
      <c r="D26" s="6" t="s">
        <v>770</v>
      </c>
      <c r="E26" s="6" t="s">
        <v>771</v>
      </c>
      <c r="F26" s="6" t="s">
        <v>769</v>
      </c>
    </row>
    <row r="27" spans="1:6">
      <c r="A27" s="85">
        <f t="shared" si="0"/>
        <v>1</v>
      </c>
      <c r="B27" s="6" t="str">
        <f t="shared" si="1"/>
        <v>English</v>
      </c>
      <c r="C27" s="6" t="s">
        <v>0</v>
      </c>
      <c r="D27" s="6" t="s">
        <v>772</v>
      </c>
      <c r="E27" s="6" t="s">
        <v>773</v>
      </c>
      <c r="F27" s="6" t="s">
        <v>774</v>
      </c>
    </row>
    <row r="28" spans="1:6">
      <c r="A28" s="85">
        <f t="shared" si="0"/>
        <v>1</v>
      </c>
      <c r="B28" s="6" t="str">
        <f t="shared" si="1"/>
        <v>Russian</v>
      </c>
      <c r="C28" s="6" t="s">
        <v>682</v>
      </c>
      <c r="D28" s="6" t="s">
        <v>775</v>
      </c>
      <c r="E28" s="6" t="s">
        <v>776</v>
      </c>
      <c r="F28" s="6" t="s">
        <v>777</v>
      </c>
    </row>
    <row r="29" spans="1:6">
      <c r="A29" s="85">
        <f t="shared" si="0"/>
        <v>1</v>
      </c>
      <c r="B29" s="6" t="str">
        <f t="shared" si="1"/>
        <v>French</v>
      </c>
      <c r="C29" s="6" t="s">
        <v>684</v>
      </c>
      <c r="D29" s="6" t="s">
        <v>778</v>
      </c>
      <c r="E29" s="6" t="s">
        <v>779</v>
      </c>
      <c r="F29" s="6" t="s">
        <v>780</v>
      </c>
    </row>
    <row r="30" spans="1:6">
      <c r="A30" s="85">
        <f t="shared" si="0"/>
        <v>1</v>
      </c>
      <c r="B30" s="6" t="str">
        <f t="shared" si="1"/>
        <v>Turkish</v>
      </c>
      <c r="C30" s="6" t="s">
        <v>685</v>
      </c>
      <c r="D30" s="6" t="s">
        <v>781</v>
      </c>
      <c r="E30" s="6" t="s">
        <v>782</v>
      </c>
      <c r="F30" s="6" t="s">
        <v>783</v>
      </c>
    </row>
    <row r="31" spans="1:6">
      <c r="A31" s="85">
        <f t="shared" si="0"/>
        <v>1</v>
      </c>
      <c r="B31" s="6" t="str">
        <f t="shared" si="1"/>
        <v>Sample receipt</v>
      </c>
      <c r="C31" s="6" t="s">
        <v>65</v>
      </c>
      <c r="D31" s="6" t="s">
        <v>784</v>
      </c>
      <c r="E31" s="6" t="s">
        <v>785</v>
      </c>
      <c r="F31" s="6" t="s">
        <v>786</v>
      </c>
    </row>
    <row r="32" spans="1:6">
      <c r="A32" s="85">
        <f t="shared" si="0"/>
        <v>1</v>
      </c>
      <c r="B32" s="6" t="str">
        <f t="shared" si="1"/>
        <v>Nucleic acid extraction</v>
      </c>
      <c r="C32" s="6" t="s">
        <v>70</v>
      </c>
      <c r="D32" s="6" t="s">
        <v>787</v>
      </c>
      <c r="E32" s="6" t="s">
        <v>788</v>
      </c>
      <c r="F32" s="6" t="s">
        <v>789</v>
      </c>
    </row>
    <row r="33" spans="1:6">
      <c r="A33" s="85">
        <f t="shared" si="0"/>
        <v>1</v>
      </c>
      <c r="B33" s="6" t="str">
        <f t="shared" si="1"/>
        <v>PCR testing</v>
      </c>
      <c r="C33" s="6" t="s">
        <v>74</v>
      </c>
      <c r="D33" s="6" t="s">
        <v>790</v>
      </c>
      <c r="E33" s="6" t="s">
        <v>791</v>
      </c>
      <c r="F33" s="6" t="s">
        <v>792</v>
      </c>
    </row>
    <row r="34" spans="1:6">
      <c r="A34" s="85">
        <f t="shared" si="0"/>
        <v>1</v>
      </c>
      <c r="B34" s="6" t="str">
        <f t="shared" si="1"/>
        <v>NGS library preparation</v>
      </c>
      <c r="C34" s="6" t="s">
        <v>78</v>
      </c>
      <c r="D34" s="6" t="s">
        <v>793</v>
      </c>
      <c r="E34" s="6" t="s">
        <v>794</v>
      </c>
      <c r="F34" s="6" t="s">
        <v>795</v>
      </c>
    </row>
    <row r="35" spans="1:6">
      <c r="A35" s="85">
        <f t="shared" si="0"/>
        <v>1</v>
      </c>
      <c r="B35" s="6" t="str">
        <f t="shared" si="1"/>
        <v>Sequencing</v>
      </c>
      <c r="C35" s="6" t="s">
        <v>80</v>
      </c>
      <c r="D35" s="6" t="s">
        <v>796</v>
      </c>
      <c r="E35" s="6" t="s">
        <v>797</v>
      </c>
      <c r="F35" s="6" t="s">
        <v>798</v>
      </c>
    </row>
    <row r="36" spans="1:6">
      <c r="A36" s="85">
        <f t="shared" si="0"/>
        <v>1</v>
      </c>
      <c r="B36" s="6" t="str">
        <f t="shared" si="1"/>
        <v>Bioinformatics</v>
      </c>
      <c r="C36" s="6" t="s">
        <v>58</v>
      </c>
      <c r="D36" s="6" t="s">
        <v>759</v>
      </c>
      <c r="E36" s="6" t="s">
        <v>760</v>
      </c>
      <c r="F36" s="6" t="s">
        <v>761</v>
      </c>
    </row>
    <row r="37" spans="1:6">
      <c r="A37" s="85">
        <f t="shared" si="0"/>
        <v>1</v>
      </c>
      <c r="B37" s="6" t="str">
        <f t="shared" si="1"/>
        <v>Cloud-based analysis software</v>
      </c>
      <c r="C37" s="6" t="s">
        <v>66</v>
      </c>
      <c r="D37" s="6" t="s">
        <v>799</v>
      </c>
      <c r="E37" s="6" t="s">
        <v>800</v>
      </c>
      <c r="F37" s="6" t="s">
        <v>801</v>
      </c>
    </row>
    <row r="38" spans="1:6">
      <c r="A38" s="85">
        <f t="shared" si="0"/>
        <v>1</v>
      </c>
      <c r="B38" s="6" t="str">
        <f t="shared" si="1"/>
        <v>In-house computing - high throughput</v>
      </c>
      <c r="C38" s="6" t="s">
        <v>802</v>
      </c>
      <c r="D38" s="6" t="s">
        <v>803</v>
      </c>
      <c r="E38" s="6" t="s">
        <v>804</v>
      </c>
      <c r="F38" s="6" t="s">
        <v>805</v>
      </c>
    </row>
    <row r="39" spans="1:6">
      <c r="A39" s="85">
        <f t="shared" si="0"/>
        <v>1</v>
      </c>
      <c r="B39" s="6" t="str">
        <f t="shared" si="1"/>
        <v>In-house computing - low/mid throughput</v>
      </c>
      <c r="C39" s="6" t="s">
        <v>806</v>
      </c>
      <c r="D39" s="6" t="s">
        <v>807</v>
      </c>
      <c r="E39" s="6" t="s">
        <v>808</v>
      </c>
      <c r="F39" s="6" t="s">
        <v>809</v>
      </c>
    </row>
    <row r="40" spans="1:6">
      <c r="A40" s="85">
        <f t="shared" si="0"/>
        <v>1</v>
      </c>
      <c r="B40" s="6" t="str">
        <f t="shared" si="1"/>
        <v>Hybrid, in-house and cloud-based</v>
      </c>
      <c r="C40" s="6" t="s">
        <v>76</v>
      </c>
      <c r="D40" s="6" t="s">
        <v>810</v>
      </c>
      <c r="E40" s="6" t="s">
        <v>811</v>
      </c>
      <c r="F40" s="6" t="s">
        <v>812</v>
      </c>
    </row>
    <row r="41" spans="1:6">
      <c r="A41" s="85">
        <f t="shared" si="0"/>
        <v>1</v>
      </c>
      <c r="B41" s="6" t="str">
        <f>IF($B$2=1,C41,IF($B$2=2,D41,IF($B$2=3,E41,F41)))</f>
        <v>Key:</v>
      </c>
      <c r="C41" s="6" t="s">
        <v>813</v>
      </c>
      <c r="D41" s="6" t="s">
        <v>814</v>
      </c>
      <c r="E41" s="6" t="s">
        <v>815</v>
      </c>
      <c r="F41" s="6" t="s">
        <v>816</v>
      </c>
    </row>
    <row r="42" spans="1:6">
      <c r="A42" s="85">
        <f t="shared" si="0"/>
        <v>1</v>
      </c>
      <c r="B42" s="6" t="str">
        <f>IF($B$2=1,C42,IF($B$2=2,D42,IF($B$2=3,E42,F42)))</f>
        <v>Fillable (free text)</v>
      </c>
      <c r="C42" s="6" t="s">
        <v>817</v>
      </c>
      <c r="D42" s="6" t="s">
        <v>818</v>
      </c>
      <c r="E42" s="6" t="s">
        <v>819</v>
      </c>
      <c r="F42" s="6" t="s">
        <v>820</v>
      </c>
    </row>
    <row r="43" spans="1:6">
      <c r="A43" s="85">
        <f t="shared" si="0"/>
        <v>1</v>
      </c>
      <c r="B43" s="6" t="str">
        <f>IF($B$2=1,C43,IF($B$2=2,D43,IF($B$2=3,E43,F43)))</f>
        <v>Select from drop-down options</v>
      </c>
      <c r="C43" s="6" t="s">
        <v>821</v>
      </c>
      <c r="D43" s="6" t="s">
        <v>822</v>
      </c>
      <c r="E43" s="6" t="s">
        <v>823</v>
      </c>
      <c r="F43" s="6" t="s">
        <v>824</v>
      </c>
    </row>
    <row r="44" spans="1:6">
      <c r="A44" s="85">
        <f t="shared" si="0"/>
        <v>1</v>
      </c>
      <c r="B44" s="6" t="str">
        <f>IF($B$2=1,C44,IF($B$2=2,D44,IF($B$2=3,E44,F44)))</f>
        <v>Fixed or formula (cannot be edited)</v>
      </c>
      <c r="C44" s="6" t="s">
        <v>825</v>
      </c>
      <c r="D44" s="6" t="s">
        <v>826</v>
      </c>
      <c r="E44" s="6" t="s">
        <v>827</v>
      </c>
      <c r="F44" s="6" t="s">
        <v>828</v>
      </c>
    </row>
    <row r="45" spans="1:6" ht="28.8">
      <c r="A45" s="85">
        <f t="shared" si="0"/>
        <v>1</v>
      </c>
      <c r="B45" s="6" t="str">
        <f>IF($B$2=1,C45,IF($B$2=2,D45,IF($B$2=3,E45,F45)))</f>
        <v>Prefilled data (contains formulas) – edit information or value if necessary/with caution (formula will be deleted)</v>
      </c>
      <c r="C45" s="6" t="s">
        <v>829</v>
      </c>
      <c r="D45" s="6" t="s">
        <v>830</v>
      </c>
      <c r="E45" s="6" t="s">
        <v>831</v>
      </c>
      <c r="F45" s="6" t="s">
        <v>832</v>
      </c>
    </row>
    <row r="46" spans="1:6">
      <c r="A46" s="85">
        <f t="shared" si="0"/>
        <v>1</v>
      </c>
      <c r="B46" s="6" t="str">
        <f t="shared" si="1"/>
        <v>Output costs/results</v>
      </c>
      <c r="C46" s="6" t="s">
        <v>833</v>
      </c>
      <c r="D46" s="6" t="s">
        <v>834</v>
      </c>
      <c r="E46" s="6" t="s">
        <v>835</v>
      </c>
      <c r="F46" s="6" t="s">
        <v>836</v>
      </c>
    </row>
    <row r="47" spans="1:6">
      <c r="A47" s="85">
        <f t="shared" si="0"/>
        <v>1</v>
      </c>
      <c r="B47" s="6" t="str">
        <f t="shared" si="1"/>
        <v>New equipment to purchase</v>
      </c>
      <c r="C47" s="6" t="s">
        <v>837</v>
      </c>
      <c r="D47" s="6" t="s">
        <v>838</v>
      </c>
      <c r="E47" s="6" t="s">
        <v>839</v>
      </c>
      <c r="F47" s="6" t="s">
        <v>840</v>
      </c>
    </row>
    <row r="48" spans="1:6">
      <c r="A48" s="85">
        <f t="shared" si="0"/>
        <v>1</v>
      </c>
      <c r="B48" s="6" t="str">
        <f t="shared" si="1"/>
        <v>Establishment costs (equipment and bioinformatics)</v>
      </c>
      <c r="C48" s="6" t="s">
        <v>841</v>
      </c>
      <c r="D48" s="6" t="s">
        <v>842</v>
      </c>
      <c r="E48" s="6" t="s">
        <v>843</v>
      </c>
      <c r="F48" s="6" t="s">
        <v>844</v>
      </c>
    </row>
    <row r="49" spans="1:6">
      <c r="A49" s="85">
        <f t="shared" si="0"/>
        <v>1</v>
      </c>
      <c r="B49" s="6" t="str">
        <f t="shared" si="1"/>
        <v>Total operational cost (per year)</v>
      </c>
      <c r="C49" s="6" t="s">
        <v>845</v>
      </c>
      <c r="D49" s="6" t="s">
        <v>846</v>
      </c>
      <c r="E49" s="6" t="s">
        <v>847</v>
      </c>
      <c r="F49" s="6" t="s">
        <v>848</v>
      </c>
    </row>
    <row r="50" spans="1:6">
      <c r="A50" s="85">
        <f t="shared" si="0"/>
        <v>1</v>
      </c>
      <c r="B50" s="6" t="str">
        <f t="shared" ref="B50:B62" si="2">IF($B$2=1,C50,IF($B$2=2,D50,IF($B$2=3,E50,F50)))</f>
        <v>Costs per category</v>
      </c>
      <c r="C50" s="6" t="s">
        <v>849</v>
      </c>
      <c r="D50" s="6" t="s">
        <v>850</v>
      </c>
      <c r="E50" s="6" t="s">
        <v>851</v>
      </c>
      <c r="F50" s="6" t="s">
        <v>852</v>
      </c>
    </row>
    <row r="51" spans="1:6">
      <c r="A51" s="85">
        <f t="shared" si="0"/>
        <v>1</v>
      </c>
      <c r="B51" s="6" t="str">
        <f t="shared" si="2"/>
        <v>Cost per sample</v>
      </c>
      <c r="C51" s="6" t="s">
        <v>853</v>
      </c>
      <c r="D51" s="6" t="s">
        <v>854</v>
      </c>
      <c r="E51" s="6" t="s">
        <v>855</v>
      </c>
      <c r="F51" s="6" t="s">
        <v>856</v>
      </c>
    </row>
    <row r="52" spans="1:6">
      <c r="A52" s="85">
        <f t="shared" si="0"/>
        <v>1</v>
      </c>
      <c r="B52" s="6" t="str">
        <f t="shared" si="2"/>
        <v>Total</v>
      </c>
      <c r="C52" s="6" t="s">
        <v>857</v>
      </c>
      <c r="D52" s="6" t="s">
        <v>858</v>
      </c>
      <c r="E52" s="6" t="s">
        <v>857</v>
      </c>
      <c r="F52" s="6" t="s">
        <v>857</v>
      </c>
    </row>
    <row r="53" spans="1:6" ht="28.8">
      <c r="A53" s="85">
        <f t="shared" si="0"/>
        <v>1</v>
      </c>
      <c r="B53" s="6" t="str">
        <f t="shared" si="2"/>
        <v>Reagents for sequencing and library preparation - Sequencer 1 (with sample retests)</v>
      </c>
      <c r="C53" s="6" t="s">
        <v>859</v>
      </c>
      <c r="D53" s="6" t="s">
        <v>860</v>
      </c>
      <c r="E53" s="6" t="s">
        <v>861</v>
      </c>
      <c r="F53" s="6" t="s">
        <v>862</v>
      </c>
    </row>
    <row r="54" spans="1:6">
      <c r="A54" s="85">
        <f t="shared" si="0"/>
        <v>1</v>
      </c>
      <c r="B54" s="6" t="str">
        <f t="shared" si="2"/>
        <v>Reagents and consumables (including sample retests)</v>
      </c>
      <c r="C54" s="6" t="s">
        <v>863</v>
      </c>
      <c r="D54" s="6" t="s">
        <v>864</v>
      </c>
      <c r="E54" s="6" t="s">
        <v>865</v>
      </c>
      <c r="F54" s="6" t="s">
        <v>866</v>
      </c>
    </row>
    <row r="55" spans="1:6">
      <c r="A55" s="85">
        <f t="shared" si="0"/>
        <v>1</v>
      </c>
      <c r="B55" s="6" t="str">
        <f t="shared" si="2"/>
        <v>Equipment maintenance</v>
      </c>
      <c r="C55" s="6" t="s">
        <v>867</v>
      </c>
      <c r="D55" s="6" t="s">
        <v>868</v>
      </c>
      <c r="E55" s="6" t="s">
        <v>869</v>
      </c>
      <c r="F55" s="6" t="s">
        <v>870</v>
      </c>
    </row>
    <row r="56" spans="1:6">
      <c r="A56" s="85">
        <f t="shared" si="0"/>
        <v>1</v>
      </c>
      <c r="B56" s="6" t="str">
        <f t="shared" si="2"/>
        <v>Bioinformatics</v>
      </c>
      <c r="C56" s="6" t="s">
        <v>58</v>
      </c>
      <c r="D56" s="6" t="s">
        <v>759</v>
      </c>
      <c r="E56" s="6" t="s">
        <v>760</v>
      </c>
      <c r="F56" s="6" t="s">
        <v>761</v>
      </c>
    </row>
    <row r="57" spans="1:6">
      <c r="A57" s="85">
        <f t="shared" si="0"/>
        <v>1</v>
      </c>
      <c r="B57" s="6" t="str">
        <f t="shared" si="2"/>
        <v>Personnel and training</v>
      </c>
      <c r="C57" s="6" t="s">
        <v>871</v>
      </c>
      <c r="D57" s="6" t="s">
        <v>872</v>
      </c>
      <c r="E57" s="6" t="s">
        <v>873</v>
      </c>
      <c r="F57" s="6" t="s">
        <v>874</v>
      </c>
    </row>
    <row r="58" spans="1:6">
      <c r="A58" s="85">
        <f t="shared" si="0"/>
        <v>1</v>
      </c>
      <c r="B58" s="6" t="str">
        <f t="shared" si="2"/>
        <v>Facility and transport</v>
      </c>
      <c r="C58" s="6" t="s">
        <v>875</v>
      </c>
      <c r="D58" s="6" t="s">
        <v>876</v>
      </c>
      <c r="E58" s="6" t="s">
        <v>877</v>
      </c>
      <c r="F58" s="6" t="s">
        <v>878</v>
      </c>
    </row>
    <row r="59" spans="1:6">
      <c r="A59" s="85">
        <f t="shared" si="0"/>
        <v>1</v>
      </c>
      <c r="B59" s="6" t="str">
        <f t="shared" si="2"/>
        <v>Quality management</v>
      </c>
      <c r="C59" s="6" t="s">
        <v>879</v>
      </c>
      <c r="D59" s="6" t="s">
        <v>880</v>
      </c>
      <c r="E59" s="6" t="s">
        <v>881</v>
      </c>
      <c r="F59" s="6" t="s">
        <v>882</v>
      </c>
    </row>
    <row r="60" spans="1:6">
      <c r="A60" s="85">
        <f t="shared" si="0"/>
        <v>1</v>
      </c>
      <c r="B60" s="6" t="str">
        <f t="shared" si="2"/>
        <v>Costs per lab workflow step</v>
      </c>
      <c r="C60" s="6" t="s">
        <v>883</v>
      </c>
      <c r="D60" s="715" t="s">
        <v>884</v>
      </c>
      <c r="E60" s="6" t="s">
        <v>885</v>
      </c>
      <c r="F60" s="6" t="s">
        <v>886</v>
      </c>
    </row>
    <row r="61" spans="1:6">
      <c r="A61" s="85">
        <f t="shared" si="0"/>
        <v>1</v>
      </c>
      <c r="B61" s="6" t="str">
        <f t="shared" si="2"/>
        <v>Cost per sample</v>
      </c>
      <c r="C61" s="6" t="s">
        <v>853</v>
      </c>
      <c r="D61" s="6" t="s">
        <v>854</v>
      </c>
      <c r="E61" s="6" t="s">
        <v>855</v>
      </c>
      <c r="F61" s="6" t="s">
        <v>856</v>
      </c>
    </row>
    <row r="62" spans="1:6">
      <c r="A62" s="85">
        <f t="shared" si="0"/>
        <v>1</v>
      </c>
      <c r="B62" s="6" t="str">
        <f t="shared" si="2"/>
        <v>Reagents and consumables</v>
      </c>
      <c r="C62" s="6" t="s">
        <v>887</v>
      </c>
      <c r="D62" s="6" t="s">
        <v>888</v>
      </c>
      <c r="E62" s="6" t="s">
        <v>889</v>
      </c>
      <c r="F62" s="6" t="s">
        <v>890</v>
      </c>
    </row>
    <row r="63" spans="1:6">
      <c r="A63" s="85">
        <f t="shared" si="0"/>
        <v>1</v>
      </c>
      <c r="B63" s="6" t="str">
        <f t="shared" si="1"/>
        <v>Workflow step</v>
      </c>
      <c r="C63" s="6" t="s">
        <v>5</v>
      </c>
      <c r="D63" s="6" t="s">
        <v>891</v>
      </c>
      <c r="E63" s="6" t="s">
        <v>892</v>
      </c>
      <c r="F63" s="6" t="s">
        <v>893</v>
      </c>
    </row>
    <row r="64" spans="1:6">
      <c r="A64" s="85">
        <f t="shared" si="0"/>
        <v>1</v>
      </c>
      <c r="B64" s="6" t="str">
        <f t="shared" si="1"/>
        <v>Reagent/consumable</v>
      </c>
      <c r="C64" s="6" t="s">
        <v>894</v>
      </c>
      <c r="D64" s="6" t="s">
        <v>895</v>
      </c>
      <c r="E64" t="s">
        <v>896</v>
      </c>
      <c r="F64" s="6" t="s">
        <v>897</v>
      </c>
    </row>
    <row r="65" spans="1:6">
      <c r="A65" s="85">
        <f t="shared" si="0"/>
        <v>1</v>
      </c>
      <c r="B65" s="6" t="str">
        <f t="shared" si="1"/>
        <v>Item</v>
      </c>
      <c r="C65" s="6" t="s">
        <v>7</v>
      </c>
      <c r="D65" s="6" t="s">
        <v>898</v>
      </c>
      <c r="E65" s="6" t="s">
        <v>899</v>
      </c>
      <c r="F65" s="6" t="s">
        <v>900</v>
      </c>
    </row>
    <row r="66" spans="1:6">
      <c r="A66" s="85">
        <f t="shared" si="0"/>
        <v>1</v>
      </c>
      <c r="B66" s="6" t="str">
        <f t="shared" si="1"/>
        <v>Quantity</v>
      </c>
      <c r="C66" s="6" t="s">
        <v>8</v>
      </c>
      <c r="D66" s="6" t="s">
        <v>901</v>
      </c>
      <c r="E66" s="6" t="s">
        <v>902</v>
      </c>
      <c r="F66" s="6" t="s">
        <v>903</v>
      </c>
    </row>
    <row r="67" spans="1:6">
      <c r="A67" s="85">
        <f t="shared" si="0"/>
        <v>1</v>
      </c>
      <c r="B67" s="6" t="str">
        <f t="shared" si="1"/>
        <v>Price per unit</v>
      </c>
      <c r="C67" s="6" t="s">
        <v>9</v>
      </c>
      <c r="D67" s="6" t="s">
        <v>904</v>
      </c>
      <c r="E67" s="6" t="s">
        <v>905</v>
      </c>
      <c r="F67" s="6" t="s">
        <v>906</v>
      </c>
    </row>
    <row r="68" spans="1:6">
      <c r="A68" s="85">
        <f t="shared" ref="A68:A131" si="3">$B$2</f>
        <v>1</v>
      </c>
      <c r="B68" s="6" t="str">
        <f t="shared" si="1"/>
        <v>Total cost</v>
      </c>
      <c r="C68" s="6" t="s">
        <v>10</v>
      </c>
      <c r="D68" s="6" t="s">
        <v>907</v>
      </c>
      <c r="E68" s="6" t="s">
        <v>908</v>
      </c>
      <c r="F68" s="6" t="s">
        <v>909</v>
      </c>
    </row>
    <row r="69" spans="1:6">
      <c r="A69" s="85">
        <f t="shared" si="3"/>
        <v>1</v>
      </c>
      <c r="B69" s="6" t="str">
        <f t="shared" ref="B69:B132" si="4">IF($B$2=1,C69,IF($B$2=2,D69,IF($B$2=3,E69,F69)))</f>
        <v>Local currency (reference only)</v>
      </c>
      <c r="C69" s="6" t="s">
        <v>910</v>
      </c>
      <c r="D69" s="6" t="s">
        <v>911</v>
      </c>
      <c r="E69" s="6" t="s">
        <v>912</v>
      </c>
      <c r="F69" s="6" t="s">
        <v>913</v>
      </c>
    </row>
    <row r="70" spans="1:6">
      <c r="A70" s="85">
        <f t="shared" si="3"/>
        <v>1</v>
      </c>
      <c r="B70" s="6" t="str">
        <f t="shared" si="4"/>
        <v>&lt;--Enter exchange rate USD to XX (if applicable)</v>
      </c>
      <c r="C70" s="6" t="s">
        <v>914</v>
      </c>
      <c r="D70" s="6" t="s">
        <v>915</v>
      </c>
      <c r="E70" s="6" t="s">
        <v>916</v>
      </c>
      <c r="F70" s="6" t="s">
        <v>917</v>
      </c>
    </row>
    <row r="71" spans="1:6" ht="43.2">
      <c r="A71" s="85">
        <f t="shared" si="3"/>
        <v>1</v>
      </c>
      <c r="B71" s="6" t="str">
        <f t="shared" si="4"/>
        <v>In order to add additional reagents and consumables, please select the row above, right-click it and choose "Insert". For any items which are not used, row contents may be deleted</v>
      </c>
      <c r="C71" s="6" t="s">
        <v>918</v>
      </c>
      <c r="D71" s="6" t="s">
        <v>919</v>
      </c>
      <c r="E71" s="6" t="s">
        <v>920</v>
      </c>
      <c r="F71" s="6" t="s">
        <v>921</v>
      </c>
    </row>
    <row r="72" spans="1:6" ht="28.8">
      <c r="A72" s="85">
        <f t="shared" si="3"/>
        <v>1</v>
      </c>
      <c r="B72" s="6" t="str">
        <f t="shared" si="4"/>
        <v>Sequencing and library preparation reagent cost with sample retests:</v>
      </c>
      <c r="C72" s="6" t="s">
        <v>922</v>
      </c>
      <c r="D72" s="6" t="s">
        <v>923</v>
      </c>
      <c r="E72" s="6" t="s">
        <v>924</v>
      </c>
      <c r="F72" s="6" t="s">
        <v>925</v>
      </c>
    </row>
    <row r="73" spans="1:6">
      <c r="A73" s="85">
        <f t="shared" si="3"/>
        <v>1</v>
      </c>
      <c r="B73" s="6" t="str">
        <f t="shared" si="4"/>
        <v xml:space="preserve">Incidentals (waste bags, PPE, ethanol, etc.): </v>
      </c>
      <c r="C73" s="6" t="s">
        <v>926</v>
      </c>
      <c r="D73" s="6" t="s">
        <v>927</v>
      </c>
      <c r="E73" s="6" t="s">
        <v>928</v>
      </c>
      <c r="F73" s="6" t="s">
        <v>929</v>
      </c>
    </row>
    <row r="74" spans="1:6">
      <c r="A74" s="85">
        <f t="shared" si="3"/>
        <v>1</v>
      </c>
      <c r="B74" s="6" t="str">
        <f t="shared" si="4"/>
        <v>Annual reagent and consumable cost without sample retests:</v>
      </c>
      <c r="C74" s="6" t="s">
        <v>930</v>
      </c>
      <c r="D74" s="6" t="s">
        <v>931</v>
      </c>
      <c r="E74" s="6" t="s">
        <v>932</v>
      </c>
      <c r="F74" s="6" t="s">
        <v>933</v>
      </c>
    </row>
    <row r="75" spans="1:6">
      <c r="A75" s="85">
        <f t="shared" si="3"/>
        <v>1</v>
      </c>
      <c r="B75" s="6" t="str">
        <f t="shared" si="4"/>
        <v>Anticipated annual cost due to sample retests:</v>
      </c>
      <c r="C75" s="6" t="s">
        <v>934</v>
      </c>
      <c r="D75" s="6" t="s">
        <v>935</v>
      </c>
      <c r="E75" s="6" t="s">
        <v>936</v>
      </c>
      <c r="F75" s="6" t="s">
        <v>937</v>
      </c>
    </row>
    <row r="76" spans="1:6">
      <c r="A76" s="85">
        <f t="shared" si="3"/>
        <v>1</v>
      </c>
      <c r="B76" s="6" t="str">
        <f t="shared" si="4"/>
        <v>Total annual reagent and consumable cost:</v>
      </c>
      <c r="C76" s="6" t="s">
        <v>938</v>
      </c>
      <c r="D76" s="6" t="s">
        <v>939</v>
      </c>
      <c r="E76" s="6" t="s">
        <v>940</v>
      </c>
      <c r="F76" s="6" t="s">
        <v>941</v>
      </c>
    </row>
    <row r="77" spans="1:6">
      <c r="A77" s="85">
        <f t="shared" si="3"/>
        <v>1</v>
      </c>
      <c r="B77" s="6" t="str">
        <f t="shared" si="4"/>
        <v>Total reagent and consumable cost per sample:</v>
      </c>
      <c r="C77" s="6" t="s">
        <v>942</v>
      </c>
      <c r="D77" s="6" t="s">
        <v>943</v>
      </c>
      <c r="E77" s="6" t="s">
        <v>944</v>
      </c>
      <c r="F77" s="6" t="s">
        <v>945</v>
      </c>
    </row>
    <row r="78" spans="1:6">
      <c r="A78" s="85">
        <f t="shared" si="3"/>
        <v>1</v>
      </c>
      <c r="B78" s="6" t="str">
        <f t="shared" si="4"/>
        <v>Equipment</v>
      </c>
      <c r="C78" s="6" t="s">
        <v>564</v>
      </c>
      <c r="D78" s="6" t="s">
        <v>946</v>
      </c>
      <c r="E78" s="6" t="s">
        <v>947</v>
      </c>
      <c r="F78" s="6" t="s">
        <v>948</v>
      </c>
    </row>
    <row r="79" spans="1:6">
      <c r="A79" s="85">
        <f t="shared" si="3"/>
        <v>1</v>
      </c>
      <c r="B79" s="6" t="str">
        <f t="shared" si="4"/>
        <v>Flag for equipment</v>
      </c>
      <c r="C79" s="6" t="s">
        <v>949</v>
      </c>
      <c r="D79" s="6" t="s">
        <v>950</v>
      </c>
      <c r="E79" s="6" t="s">
        <v>951</v>
      </c>
      <c r="F79" s="6" t="s">
        <v>952</v>
      </c>
    </row>
    <row r="80" spans="1:6">
      <c r="A80" s="85">
        <f t="shared" si="3"/>
        <v>1</v>
      </c>
      <c r="B80" s="6" t="str">
        <f t="shared" si="4"/>
        <v>Workflow step</v>
      </c>
      <c r="C80" s="6" t="s">
        <v>5</v>
      </c>
      <c r="D80" s="6" t="s">
        <v>891</v>
      </c>
      <c r="E80" s="6" t="s">
        <v>953</v>
      </c>
      <c r="F80" s="6" t="s">
        <v>893</v>
      </c>
    </row>
    <row r="81" spans="1:6">
      <c r="A81" s="85">
        <f t="shared" si="3"/>
        <v>1</v>
      </c>
      <c r="B81" s="6" t="str">
        <f t="shared" si="4"/>
        <v>Item</v>
      </c>
      <c r="C81" s="6" t="s">
        <v>7</v>
      </c>
      <c r="D81" s="6" t="s">
        <v>954</v>
      </c>
      <c r="E81" s="6" t="s">
        <v>899</v>
      </c>
      <c r="F81" s="6" t="s">
        <v>900</v>
      </c>
    </row>
    <row r="82" spans="1:6">
      <c r="A82" s="85">
        <f t="shared" si="3"/>
        <v>1</v>
      </c>
      <c r="B82" s="6" t="str">
        <f t="shared" si="4"/>
        <v>Recommended quantity</v>
      </c>
      <c r="C82" s="6" t="s">
        <v>955</v>
      </c>
      <c r="D82" s="6" t="s">
        <v>956</v>
      </c>
      <c r="E82" s="6" t="s">
        <v>957</v>
      </c>
      <c r="F82" s="6" t="s">
        <v>958</v>
      </c>
    </row>
    <row r="83" spans="1:6">
      <c r="A83" s="85">
        <f t="shared" si="3"/>
        <v>1</v>
      </c>
      <c r="B83" s="6" t="str">
        <f t="shared" si="4"/>
        <v>Actual quantity (enter 0 if none)</v>
      </c>
      <c r="C83" s="6" t="s">
        <v>959</v>
      </c>
      <c r="D83" s="6" t="s">
        <v>960</v>
      </c>
      <c r="E83" s="6" t="s">
        <v>961</v>
      </c>
      <c r="F83" s="6" t="s">
        <v>962</v>
      </c>
    </row>
    <row r="84" spans="1:6">
      <c r="A84" s="85">
        <f t="shared" si="3"/>
        <v>1</v>
      </c>
      <c r="B84" s="6" t="str">
        <f t="shared" si="4"/>
        <v>Unit cost</v>
      </c>
      <c r="C84" s="6" t="s">
        <v>17</v>
      </c>
      <c r="D84" s="6" t="s">
        <v>963</v>
      </c>
      <c r="E84" s="6" t="s">
        <v>964</v>
      </c>
      <c r="F84" s="6" t="s">
        <v>965</v>
      </c>
    </row>
    <row r="85" spans="1:6">
      <c r="A85" s="85">
        <f t="shared" si="3"/>
        <v>1</v>
      </c>
      <c r="B85" s="6" t="str">
        <f t="shared" si="4"/>
        <v>Total cost</v>
      </c>
      <c r="C85" s="6" t="s">
        <v>10</v>
      </c>
      <c r="D85" s="6" t="s">
        <v>907</v>
      </c>
      <c r="E85" s="6" t="s">
        <v>908</v>
      </c>
      <c r="F85" s="6" t="s">
        <v>909</v>
      </c>
    </row>
    <row r="86" spans="1:6">
      <c r="A86" s="85">
        <f t="shared" si="3"/>
        <v>1</v>
      </c>
      <c r="B86" s="6" t="str">
        <f t="shared" si="4"/>
        <v>Recommended lifetime (years)</v>
      </c>
      <c r="C86" s="6" t="s">
        <v>18</v>
      </c>
      <c r="D86" s="6" t="s">
        <v>966</v>
      </c>
      <c r="E86" s="6" t="s">
        <v>967</v>
      </c>
      <c r="F86" s="6" t="s">
        <v>968</v>
      </c>
    </row>
    <row r="87" spans="1:6">
      <c r="A87" s="85">
        <f t="shared" si="3"/>
        <v>1</v>
      </c>
      <c r="B87" s="6" t="str">
        <f t="shared" si="4"/>
        <v>Age of equipment (new=0)</v>
      </c>
      <c r="C87" s="6" t="s">
        <v>19</v>
      </c>
      <c r="D87" s="6" t="s">
        <v>969</v>
      </c>
      <c r="E87" s="6" t="s">
        <v>970</v>
      </c>
      <c r="F87" s="6" t="s">
        <v>971</v>
      </c>
    </row>
    <row r="88" spans="1:6">
      <c r="A88" s="85">
        <f t="shared" si="3"/>
        <v>1</v>
      </c>
      <c r="B88" s="6" t="str">
        <f t="shared" si="4"/>
        <v>Depreciation value</v>
      </c>
      <c r="C88" s="6" t="s">
        <v>972</v>
      </c>
      <c r="D88" s="6" t="s">
        <v>973</v>
      </c>
      <c r="E88" s="6" t="s">
        <v>974</v>
      </c>
      <c r="F88" s="6" t="s">
        <v>975</v>
      </c>
    </row>
    <row r="89" spans="1:6">
      <c r="A89" s="85">
        <f t="shared" si="3"/>
        <v>1</v>
      </c>
      <c r="B89" s="6" t="str">
        <f t="shared" si="4"/>
        <v>Maintenance and calibration contract cost per year (default = 15%)</v>
      </c>
      <c r="C89" s="6" t="s">
        <v>976</v>
      </c>
      <c r="D89" s="6" t="s">
        <v>977</v>
      </c>
      <c r="E89" s="6" t="s">
        <v>978</v>
      </c>
      <c r="F89" s="6" t="s">
        <v>979</v>
      </c>
    </row>
    <row r="90" spans="1:6">
      <c r="A90" s="85">
        <f t="shared" si="3"/>
        <v>1</v>
      </c>
      <c r="B90" s="6" t="str">
        <f t="shared" si="4"/>
        <v>Percentage of use for sequencing of selected pathogens</v>
      </c>
      <c r="C90" s="6" t="s">
        <v>980</v>
      </c>
      <c r="D90" s="6" t="s">
        <v>981</v>
      </c>
      <c r="E90" s="6" t="s">
        <v>982</v>
      </c>
      <c r="F90" s="6" t="s">
        <v>983</v>
      </c>
    </row>
    <row r="91" spans="1:6">
      <c r="A91" s="85">
        <f t="shared" si="3"/>
        <v>1</v>
      </c>
      <c r="B91" s="6" t="str">
        <f t="shared" si="4"/>
        <v>Annual equipment depreciation cost</v>
      </c>
      <c r="C91" s="6" t="s">
        <v>984</v>
      </c>
      <c r="D91" s="6" t="s">
        <v>985</v>
      </c>
      <c r="E91" s="6" t="s">
        <v>986</v>
      </c>
      <c r="F91" s="6" t="s">
        <v>987</v>
      </c>
    </row>
    <row r="92" spans="1:6" ht="28.8">
      <c r="A92" s="85">
        <f t="shared" si="3"/>
        <v>1</v>
      </c>
      <c r="B92" s="6" t="str">
        <f t="shared" si="4"/>
        <v>Potential items for purchase to reach recommended equipment quantities</v>
      </c>
      <c r="C92" s="6" t="s">
        <v>988</v>
      </c>
      <c r="D92" s="6" t="s">
        <v>989</v>
      </c>
      <c r="E92" s="6" t="s">
        <v>990</v>
      </c>
      <c r="F92" s="6" t="s">
        <v>991</v>
      </c>
    </row>
    <row r="93" spans="1:6">
      <c r="A93" s="85">
        <f t="shared" si="3"/>
        <v>1</v>
      </c>
      <c r="B93" s="6" t="str">
        <f t="shared" si="4"/>
        <v>Total cost</v>
      </c>
      <c r="C93" s="6" t="s">
        <v>10</v>
      </c>
      <c r="D93" s="6" t="s">
        <v>907</v>
      </c>
      <c r="E93" s="6" t="s">
        <v>908</v>
      </c>
      <c r="F93" s="6" t="s">
        <v>909</v>
      </c>
    </row>
    <row r="94" spans="1:6">
      <c r="A94" s="85">
        <f t="shared" si="3"/>
        <v>1</v>
      </c>
      <c r="B94" s="6" t="str">
        <f t="shared" si="4"/>
        <v>Quantity</v>
      </c>
      <c r="C94" s="6" t="s">
        <v>8</v>
      </c>
      <c r="D94" s="6" t="s">
        <v>901</v>
      </c>
      <c r="E94" s="6" t="s">
        <v>902</v>
      </c>
      <c r="F94" s="6" t="s">
        <v>903</v>
      </c>
    </row>
    <row r="95" spans="1:6">
      <c r="A95" s="85">
        <f t="shared" si="3"/>
        <v>1</v>
      </c>
      <c r="B95" s="6" t="str">
        <f t="shared" si="4"/>
        <v>Item</v>
      </c>
      <c r="C95" s="6" t="s">
        <v>7</v>
      </c>
      <c r="D95" s="6" t="s">
        <v>954</v>
      </c>
      <c r="E95" s="6" t="s">
        <v>899</v>
      </c>
      <c r="F95" s="6" t="s">
        <v>900</v>
      </c>
    </row>
    <row r="96" spans="1:6" ht="129.6">
      <c r="A96" s="85">
        <f t="shared" si="3"/>
        <v>1</v>
      </c>
      <c r="B96" s="6" t="str">
        <f t="shared" si="4"/>
        <v xml:space="preserve">In order to add additional items, please select the cells of the last row above the whole table, right-click it, choose "Insert" and then "Table rows above". Add additional row for the "Local currency" table on the right as well: select the cell in the same row as you did in the "Equipment" table,  right-click it and choose "Insert" and then "Table rows above". Also add additional row for the "Equipment to buy" table on the right of the "Local currency table": select the cell in the same row as you did in the "Equipment" table,  right-click it and choose "Insert" and then "Table rows above" </v>
      </c>
      <c r="C96" s="6" t="s">
        <v>992</v>
      </c>
      <c r="D96" s="6" t="s">
        <v>993</v>
      </c>
      <c r="E96" s="6" t="s">
        <v>994</v>
      </c>
      <c r="F96" s="6" t="s">
        <v>995</v>
      </c>
    </row>
    <row r="97" spans="1:6">
      <c r="A97" s="85">
        <f t="shared" si="3"/>
        <v>1</v>
      </c>
      <c r="B97" s="6" t="str">
        <f t="shared" si="4"/>
        <v>Total recommended equipment cost</v>
      </c>
      <c r="C97" s="6" t="s">
        <v>996</v>
      </c>
      <c r="D97" s="6" t="s">
        <v>997</v>
      </c>
      <c r="E97" s="6" t="s">
        <v>998</v>
      </c>
      <c r="F97" s="6" t="s">
        <v>999</v>
      </c>
    </row>
    <row r="98" spans="1:6">
      <c r="A98" s="85">
        <f t="shared" si="3"/>
        <v>1</v>
      </c>
      <c r="B98" s="6" t="str">
        <f t="shared" si="4"/>
        <v>Equipment to buy</v>
      </c>
      <c r="C98" s="6" t="s">
        <v>1000</v>
      </c>
      <c r="D98" s="6" t="s">
        <v>1001</v>
      </c>
      <c r="E98" s="6" t="s">
        <v>1002</v>
      </c>
      <c r="F98" s="6" t="s">
        <v>1003</v>
      </c>
    </row>
    <row r="99" spans="1:6">
      <c r="A99" s="85">
        <f t="shared" si="3"/>
        <v>1</v>
      </c>
      <c r="B99" s="6" t="str">
        <f t="shared" si="4"/>
        <v>Total annual equipment depreciation cost</v>
      </c>
      <c r="C99" s="6" t="s">
        <v>1004</v>
      </c>
      <c r="D99" s="6" t="s">
        <v>1005</v>
      </c>
      <c r="E99" s="6" t="s">
        <v>1006</v>
      </c>
      <c r="F99" s="6" t="s">
        <v>1007</v>
      </c>
    </row>
    <row r="100" spans="1:6">
      <c r="A100" s="85">
        <f t="shared" si="3"/>
        <v>1</v>
      </c>
      <c r="B100" s="6" t="str">
        <f t="shared" si="4"/>
        <v>Total equipment cost per sample</v>
      </c>
      <c r="C100" s="6" t="s">
        <v>1008</v>
      </c>
      <c r="D100" s="6" t="s">
        <v>1009</v>
      </c>
      <c r="E100" s="6" t="s">
        <v>1010</v>
      </c>
      <c r="F100" s="6" t="s">
        <v>1011</v>
      </c>
    </row>
    <row r="101" spans="1:6">
      <c r="A101" s="85">
        <f t="shared" si="3"/>
        <v>1</v>
      </c>
      <c r="B101" s="6" t="str">
        <f t="shared" si="4"/>
        <v>Personnel and training</v>
      </c>
      <c r="C101" s="6" t="s">
        <v>871</v>
      </c>
      <c r="D101" s="6" t="s">
        <v>872</v>
      </c>
      <c r="E101" s="6" t="s">
        <v>873</v>
      </c>
      <c r="F101" s="6" t="s">
        <v>874</v>
      </c>
    </row>
    <row r="102" spans="1:6">
      <c r="A102" s="85">
        <f t="shared" si="3"/>
        <v>1</v>
      </c>
      <c r="B102" s="6" t="str">
        <f t="shared" si="4"/>
        <v>NGS workforce</v>
      </c>
      <c r="C102" s="6" t="s">
        <v>1012</v>
      </c>
      <c r="D102" s="6" t="s">
        <v>1013</v>
      </c>
      <c r="E102" s="6" t="s">
        <v>1014</v>
      </c>
      <c r="F102" s="6" t="s">
        <v>1015</v>
      </c>
    </row>
    <row r="103" spans="1:6">
      <c r="A103" s="85">
        <f t="shared" si="3"/>
        <v>1</v>
      </c>
      <c r="B103" s="6" t="str">
        <f t="shared" si="4"/>
        <v>Annual salary and benefit costs</v>
      </c>
      <c r="C103" s="6" t="s">
        <v>1016</v>
      </c>
      <c r="D103" s="6" t="s">
        <v>1017</v>
      </c>
      <c r="E103" s="6" t="s">
        <v>1018</v>
      </c>
      <c r="F103" s="6" t="s">
        <v>1019</v>
      </c>
    </row>
    <row r="104" spans="1:6">
      <c r="A104" s="85">
        <f t="shared" si="3"/>
        <v>1</v>
      </c>
      <c r="B104" s="6" t="str">
        <f t="shared" si="4"/>
        <v>Percentage of time spent on sequencing of selected pathogens</v>
      </c>
      <c r="C104" s="6" t="s">
        <v>1020</v>
      </c>
      <c r="D104" s="6" t="s">
        <v>1021</v>
      </c>
      <c r="E104" s="6" t="s">
        <v>1022</v>
      </c>
      <c r="F104" s="6" t="s">
        <v>1023</v>
      </c>
    </row>
    <row r="105" spans="1:6">
      <c r="A105" s="85">
        <f t="shared" si="3"/>
        <v>1</v>
      </c>
      <c r="B105" s="6" t="str">
        <f t="shared" si="4"/>
        <v>Annual personnel cost</v>
      </c>
      <c r="C105" s="6" t="s">
        <v>28</v>
      </c>
      <c r="D105" s="6" t="s">
        <v>1024</v>
      </c>
      <c r="E105" s="6" t="s">
        <v>1025</v>
      </c>
      <c r="F105" s="6" t="s">
        <v>1026</v>
      </c>
    </row>
    <row r="106" spans="1:6">
      <c r="A106" s="85">
        <f t="shared" si="3"/>
        <v>1</v>
      </c>
      <c r="B106" s="6" t="str">
        <f t="shared" si="4"/>
        <v>Personnel cost per sample</v>
      </c>
      <c r="C106" s="6" t="s">
        <v>29</v>
      </c>
      <c r="D106" s="6" t="s">
        <v>1027</v>
      </c>
      <c r="E106" s="6" t="s">
        <v>1028</v>
      </c>
      <c r="F106" s="6" t="s">
        <v>1029</v>
      </c>
    </row>
    <row r="107" spans="1:6" ht="86.4">
      <c r="A107" s="85">
        <f t="shared" si="3"/>
        <v>1</v>
      </c>
      <c r="B107" s="6" t="str">
        <f t="shared" si="4"/>
        <v>In order to add additional items, please select the cells of the last row above the whole table, right-click it, choose "Insert" and then "Table rows above". Add additional row for the "Local currency" table on the right as well: select the cell in the same row as you did in the "Personnel and Training" table,  right-click it and choose "Insert" and then "Table rows above"</v>
      </c>
      <c r="C107" s="6" t="s">
        <v>1030</v>
      </c>
      <c r="D107" s="6" t="s">
        <v>1031</v>
      </c>
      <c r="E107" s="6" t="s">
        <v>1032</v>
      </c>
      <c r="F107" s="6" t="s">
        <v>1033</v>
      </c>
    </row>
    <row r="108" spans="1:6">
      <c r="A108" s="85">
        <f t="shared" si="3"/>
        <v>1</v>
      </c>
      <c r="B108" s="6" t="str">
        <f t="shared" si="4"/>
        <v>Additional admin cost percentage</v>
      </c>
      <c r="C108" s="6" t="s">
        <v>1034</v>
      </c>
      <c r="D108" s="6" t="s">
        <v>1035</v>
      </c>
      <c r="E108" s="6" t="s">
        <v>1036</v>
      </c>
      <c r="F108" s="6" t="s">
        <v>1037</v>
      </c>
    </row>
    <row r="109" spans="1:6">
      <c r="A109" s="85">
        <f t="shared" si="3"/>
        <v>1</v>
      </c>
      <c r="B109" s="6" t="str">
        <f t="shared" si="4"/>
        <v>Comments</v>
      </c>
      <c r="C109" s="6" t="s">
        <v>41</v>
      </c>
      <c r="D109" s="6" t="s">
        <v>1038</v>
      </c>
      <c r="E109" s="6" t="s">
        <v>1039</v>
      </c>
      <c r="F109" s="6" t="s">
        <v>1040</v>
      </c>
    </row>
    <row r="110" spans="1:6" ht="28.8">
      <c r="A110" s="85">
        <f t="shared" si="3"/>
        <v>1</v>
      </c>
      <c r="B110" s="6" t="str">
        <f t="shared" si="4"/>
        <v>Annual sequencing/bioinformatics training cost for the selected pathogens</v>
      </c>
      <c r="C110" s="6" t="s">
        <v>1041</v>
      </c>
      <c r="D110" s="6" t="s">
        <v>1042</v>
      </c>
      <c r="E110" s="6" t="s">
        <v>1043</v>
      </c>
      <c r="F110" s="6" t="s">
        <v>1044</v>
      </c>
    </row>
    <row r="111" spans="1:6">
      <c r="A111" s="85">
        <f t="shared" si="3"/>
        <v>1</v>
      </c>
      <c r="B111" s="6" t="str">
        <f t="shared" si="4"/>
        <v>Training cost per sample</v>
      </c>
      <c r="C111" s="6" t="s">
        <v>1045</v>
      </c>
      <c r="D111" s="6" t="s">
        <v>1046</v>
      </c>
      <c r="E111" s="6" t="s">
        <v>1047</v>
      </c>
      <c r="F111" s="6" t="s">
        <v>1048</v>
      </c>
    </row>
    <row r="112" spans="1:6">
      <c r="A112" s="85">
        <f t="shared" si="3"/>
        <v>1</v>
      </c>
      <c r="B112" s="6" t="str">
        <f t="shared" si="4"/>
        <v>Total annual personnel cost</v>
      </c>
      <c r="C112" s="6" t="s">
        <v>1049</v>
      </c>
      <c r="D112" s="6" t="s">
        <v>1050</v>
      </c>
      <c r="E112" s="6" t="s">
        <v>1051</v>
      </c>
      <c r="F112" s="6" t="s">
        <v>1052</v>
      </c>
    </row>
    <row r="113" spans="1:6">
      <c r="A113" s="85">
        <f t="shared" si="3"/>
        <v>1</v>
      </c>
      <c r="B113" s="6" t="str">
        <f t="shared" si="4"/>
        <v>Total personnel cost per sample</v>
      </c>
      <c r="C113" s="6" t="s">
        <v>1053</v>
      </c>
      <c r="D113" s="6" t="s">
        <v>1054</v>
      </c>
      <c r="E113" s="6" t="s">
        <v>1055</v>
      </c>
      <c r="F113" s="6" t="s">
        <v>1056</v>
      </c>
    </row>
    <row r="114" spans="1:6">
      <c r="A114" s="85">
        <f t="shared" si="3"/>
        <v>1</v>
      </c>
      <c r="B114" s="6" t="str">
        <f t="shared" si="4"/>
        <v>Facility and transport</v>
      </c>
      <c r="C114" s="6" t="s">
        <v>875</v>
      </c>
      <c r="D114" s="6" t="s">
        <v>876</v>
      </c>
      <c r="E114" s="6" t="s">
        <v>877</v>
      </c>
      <c r="F114" s="6" t="s">
        <v>878</v>
      </c>
    </row>
    <row r="115" spans="1:6">
      <c r="A115" s="85">
        <f t="shared" si="3"/>
        <v>1</v>
      </c>
      <c r="B115" s="6" t="str">
        <f t="shared" si="4"/>
        <v>Facility</v>
      </c>
      <c r="C115" s="6" t="s">
        <v>1057</v>
      </c>
      <c r="D115" s="6" t="s">
        <v>1058</v>
      </c>
      <c r="E115" s="6" t="s">
        <v>1059</v>
      </c>
      <c r="F115" s="714" t="s">
        <v>1060</v>
      </c>
    </row>
    <row r="116" spans="1:6">
      <c r="A116" s="85">
        <f t="shared" si="3"/>
        <v>1</v>
      </c>
      <c r="B116" s="6" t="str">
        <f t="shared" si="4"/>
        <v>Facility services</v>
      </c>
      <c r="C116" s="6" t="s">
        <v>30</v>
      </c>
      <c r="D116" s="6" t="s">
        <v>1061</v>
      </c>
      <c r="E116" s="6" t="s">
        <v>1062</v>
      </c>
      <c r="F116" s="6" t="s">
        <v>1063</v>
      </c>
    </row>
    <row r="117" spans="1:6">
      <c r="A117" s="85">
        <f t="shared" si="3"/>
        <v>1</v>
      </c>
      <c r="B117" s="6" t="str">
        <f t="shared" si="4"/>
        <v>Cost per month</v>
      </c>
      <c r="C117" s="6" t="s">
        <v>31</v>
      </c>
      <c r="D117" s="6" t="s">
        <v>1064</v>
      </c>
      <c r="E117" s="6" t="s">
        <v>1065</v>
      </c>
      <c r="F117" s="6" t="s">
        <v>1066</v>
      </c>
    </row>
    <row r="118" spans="1:6">
      <c r="A118" s="85">
        <f t="shared" si="3"/>
        <v>1</v>
      </c>
      <c r="B118" s="6" t="str">
        <f t="shared" si="4"/>
        <v>Rent</v>
      </c>
      <c r="C118" s="6" t="s">
        <v>1067</v>
      </c>
      <c r="D118" s="6" t="s">
        <v>1068</v>
      </c>
      <c r="E118" s="6" t="s">
        <v>1069</v>
      </c>
      <c r="F118" s="6" t="s">
        <v>1070</v>
      </c>
    </row>
    <row r="119" spans="1:6">
      <c r="A119" s="85">
        <f t="shared" si="3"/>
        <v>1</v>
      </c>
      <c r="B119" s="6" t="str">
        <f t="shared" si="4"/>
        <v>Building maintenance</v>
      </c>
      <c r="C119" s="6" t="s">
        <v>1071</v>
      </c>
      <c r="D119" s="6" t="s">
        <v>1072</v>
      </c>
      <c r="E119" s="6" t="s">
        <v>1073</v>
      </c>
      <c r="F119" s="6" t="s">
        <v>1074</v>
      </c>
    </row>
    <row r="120" spans="1:6">
      <c r="A120" s="85">
        <f t="shared" si="3"/>
        <v>1</v>
      </c>
      <c r="B120" s="6" t="str">
        <f t="shared" si="4"/>
        <v>Gas and heating</v>
      </c>
      <c r="C120" s="6" t="s">
        <v>1075</v>
      </c>
      <c r="D120" s="6" t="s">
        <v>1076</v>
      </c>
      <c r="E120" s="6" t="s">
        <v>1077</v>
      </c>
      <c r="F120" s="6" t="s">
        <v>1078</v>
      </c>
    </row>
    <row r="121" spans="1:6">
      <c r="A121" s="85">
        <f t="shared" si="3"/>
        <v>1</v>
      </c>
      <c r="B121" s="6" t="str">
        <f t="shared" si="4"/>
        <v>Water</v>
      </c>
      <c r="C121" s="6" t="s">
        <v>1079</v>
      </c>
      <c r="D121" s="6" t="s">
        <v>1080</v>
      </c>
      <c r="E121" s="6" t="s">
        <v>1081</v>
      </c>
      <c r="F121" s="6" t="s">
        <v>1082</v>
      </c>
    </row>
    <row r="122" spans="1:6">
      <c r="A122" s="85">
        <f t="shared" si="3"/>
        <v>1</v>
      </c>
      <c r="B122" s="6" t="str">
        <f t="shared" si="4"/>
        <v>Electricity</v>
      </c>
      <c r="C122" s="6" t="s">
        <v>1083</v>
      </c>
      <c r="D122" s="6" t="s">
        <v>1084</v>
      </c>
      <c r="E122" s="6" t="s">
        <v>1085</v>
      </c>
      <c r="F122" s="6" t="s">
        <v>1086</v>
      </c>
    </row>
    <row r="123" spans="1:6">
      <c r="A123" s="85">
        <f t="shared" si="3"/>
        <v>1</v>
      </c>
      <c r="B123" s="6" t="str">
        <f t="shared" si="4"/>
        <v>Internet</v>
      </c>
      <c r="C123" s="6" t="s">
        <v>1087</v>
      </c>
      <c r="D123" s="6" t="s">
        <v>1088</v>
      </c>
      <c r="E123" s="6" t="s">
        <v>1087</v>
      </c>
      <c r="F123" s="6" t="s">
        <v>1087</v>
      </c>
    </row>
    <row r="124" spans="1:6">
      <c r="A124" s="85">
        <f t="shared" si="3"/>
        <v>1</v>
      </c>
      <c r="B124" s="6" t="str">
        <f t="shared" si="4"/>
        <v>Telephone</v>
      </c>
      <c r="C124" s="6" t="s">
        <v>1089</v>
      </c>
      <c r="D124" s="6" t="s">
        <v>1090</v>
      </c>
      <c r="E124" s="6" t="s">
        <v>1091</v>
      </c>
      <c r="F124" s="6" t="s">
        <v>1092</v>
      </c>
    </row>
    <row r="125" spans="1:6">
      <c r="A125" s="85">
        <f t="shared" si="3"/>
        <v>1</v>
      </c>
      <c r="B125" s="6" t="str">
        <f t="shared" si="4"/>
        <v>Waste management</v>
      </c>
      <c r="C125" s="6" t="s">
        <v>1093</v>
      </c>
      <c r="D125" s="6" t="s">
        <v>1094</v>
      </c>
      <c r="E125" s="6" t="s">
        <v>1095</v>
      </c>
      <c r="F125" s="6" t="s">
        <v>1096</v>
      </c>
    </row>
    <row r="126" spans="1:6">
      <c r="A126" s="85">
        <f t="shared" si="3"/>
        <v>1</v>
      </c>
      <c r="B126" s="6" t="str">
        <f t="shared" si="4"/>
        <v>Generator maintenance</v>
      </c>
      <c r="C126" s="6" t="s">
        <v>1097</v>
      </c>
      <c r="D126" s="6" t="s">
        <v>1098</v>
      </c>
      <c r="E126" s="6" t="s">
        <v>1099</v>
      </c>
      <c r="F126" s="6" t="s">
        <v>1100</v>
      </c>
    </row>
    <row r="127" spans="1:6">
      <c r="A127" s="85">
        <f t="shared" si="3"/>
        <v>1</v>
      </c>
      <c r="B127" s="6" t="str">
        <f t="shared" si="4"/>
        <v>Ventilation system maintenance</v>
      </c>
      <c r="C127" s="6" t="s">
        <v>1101</v>
      </c>
      <c r="D127" s="6" t="s">
        <v>1102</v>
      </c>
      <c r="E127" s="6" t="s">
        <v>1103</v>
      </c>
      <c r="F127" s="6" t="s">
        <v>1104</v>
      </c>
    </row>
    <row r="128" spans="1:6">
      <c r="A128" s="85">
        <f t="shared" si="3"/>
        <v>1</v>
      </c>
      <c r="B128" s="6" t="str">
        <f t="shared" si="4"/>
        <v>Generator fuel</v>
      </c>
      <c r="C128" s="6" t="s">
        <v>1105</v>
      </c>
      <c r="D128" s="6" t="s">
        <v>1106</v>
      </c>
      <c r="E128" s="6" t="s">
        <v>1107</v>
      </c>
      <c r="F128" s="6" t="s">
        <v>1108</v>
      </c>
    </row>
    <row r="129" spans="1:6" ht="43.2">
      <c r="A129" s="85">
        <f t="shared" si="3"/>
        <v>1</v>
      </c>
      <c r="B129" s="6" t="str">
        <f t="shared" si="4"/>
        <v>In order to add additional costs, please select the cells of the last row above the whole table, right-click it, choose "Insert" and then "Table rows above"</v>
      </c>
      <c r="C129" s="6" t="s">
        <v>1109</v>
      </c>
      <c r="D129" s="6" t="s">
        <v>1110</v>
      </c>
      <c r="E129" s="6" t="s">
        <v>1111</v>
      </c>
      <c r="F129" s="6" t="s">
        <v>1112</v>
      </c>
    </row>
    <row r="130" spans="1:6">
      <c r="A130" s="85">
        <f t="shared" si="3"/>
        <v>1</v>
      </c>
      <c r="B130" s="6" t="str">
        <f t="shared" si="4"/>
        <v>Total facility cost/month</v>
      </c>
      <c r="C130" s="6" t="s">
        <v>1113</v>
      </c>
      <c r="D130" s="6" t="s">
        <v>1114</v>
      </c>
      <c r="E130" s="6" t="s">
        <v>1115</v>
      </c>
      <c r="F130" s="6" t="s">
        <v>1116</v>
      </c>
    </row>
    <row r="131" spans="1:6" ht="28.8">
      <c r="A131" s="85">
        <f t="shared" si="3"/>
        <v>1</v>
      </c>
      <c r="B131" s="6" t="str">
        <f t="shared" si="4"/>
        <v>Percentage of the facility used for sequencing of selected pathogens</v>
      </c>
      <c r="C131" s="6" t="s">
        <v>1117</v>
      </c>
      <c r="D131" s="6" t="s">
        <v>1118</v>
      </c>
      <c r="E131" s="6" t="s">
        <v>1119</v>
      </c>
      <c r="F131" s="6" t="s">
        <v>1120</v>
      </c>
    </row>
    <row r="132" spans="1:6">
      <c r="A132" s="85">
        <f t="shared" ref="A132:A195" si="5">$B$2</f>
        <v>1</v>
      </c>
      <c r="B132" s="6" t="str">
        <f t="shared" si="4"/>
        <v>Annual facility cost</v>
      </c>
      <c r="C132" s="6" t="s">
        <v>1121</v>
      </c>
      <c r="D132" s="6" t="s">
        <v>1122</v>
      </c>
      <c r="E132" s="6" t="s">
        <v>1123</v>
      </c>
      <c r="F132" s="6" t="s">
        <v>1124</v>
      </c>
    </row>
    <row r="133" spans="1:6">
      <c r="A133" s="85">
        <f t="shared" si="5"/>
        <v>1</v>
      </c>
      <c r="B133" s="6" t="str">
        <f t="shared" ref="B133:B196" si="6">IF($B$2=1,C133,IF($B$2=2,D133,IF($B$2=3,E133,F133)))</f>
        <v>Facility cost per sample</v>
      </c>
      <c r="C133" s="6" t="s">
        <v>1125</v>
      </c>
      <c r="D133" s="6" t="s">
        <v>1126</v>
      </c>
      <c r="E133" s="6" t="s">
        <v>1127</v>
      </c>
      <c r="F133" s="6" t="s">
        <v>1128</v>
      </c>
    </row>
    <row r="134" spans="1:6">
      <c r="A134" s="85">
        <f t="shared" si="5"/>
        <v>1</v>
      </c>
      <c r="B134" s="6" t="str">
        <f t="shared" si="6"/>
        <v>Transport</v>
      </c>
      <c r="C134" s="6" t="s">
        <v>1129</v>
      </c>
      <c r="D134" s="6" t="s">
        <v>1130</v>
      </c>
      <c r="E134" s="6" t="s">
        <v>1131</v>
      </c>
      <c r="F134" s="6" t="s">
        <v>1129</v>
      </c>
    </row>
    <row r="135" spans="1:6">
      <c r="A135" s="85">
        <f t="shared" si="5"/>
        <v>1</v>
      </c>
      <c r="B135" s="6" t="str">
        <f t="shared" si="6"/>
        <v>Transportation services</v>
      </c>
      <c r="C135" s="6" t="s">
        <v>32</v>
      </c>
      <c r="D135" s="6" t="s">
        <v>1132</v>
      </c>
      <c r="E135" s="6" t="s">
        <v>1133</v>
      </c>
      <c r="F135" s="6" t="s">
        <v>1134</v>
      </c>
    </row>
    <row r="136" spans="1:6">
      <c r="A136" s="85">
        <f t="shared" si="5"/>
        <v>1</v>
      </c>
      <c r="B136" s="6" t="str">
        <f t="shared" si="6"/>
        <v>Shipment method</v>
      </c>
      <c r="C136" s="6" t="s">
        <v>33</v>
      </c>
      <c r="D136" s="6" t="s">
        <v>1135</v>
      </c>
      <c r="E136" s="6" t="s">
        <v>1136</v>
      </c>
      <c r="F136" s="6" t="s">
        <v>1137</v>
      </c>
    </row>
    <row r="137" spans="1:6">
      <c r="A137" s="85">
        <f t="shared" si="5"/>
        <v>1</v>
      </c>
      <c r="B137" s="6" t="str">
        <f t="shared" si="6"/>
        <v>Annual cost</v>
      </c>
      <c r="C137" s="6" t="s">
        <v>34</v>
      </c>
      <c r="D137" s="6" t="s">
        <v>1138</v>
      </c>
      <c r="E137" s="6" t="s">
        <v>1139</v>
      </c>
      <c r="F137" s="6" t="s">
        <v>1140</v>
      </c>
    </row>
    <row r="138" spans="1:6">
      <c r="A138" s="85">
        <f t="shared" si="5"/>
        <v>1</v>
      </c>
      <c r="B138" s="6" t="str">
        <f t="shared" si="6"/>
        <v>Transportation cost per sample per service</v>
      </c>
      <c r="C138" s="6" t="s">
        <v>35</v>
      </c>
      <c r="D138" s="6" t="s">
        <v>1141</v>
      </c>
      <c r="E138" s="6" t="s">
        <v>1142</v>
      </c>
      <c r="F138" s="6" t="s">
        <v>1143</v>
      </c>
    </row>
    <row r="139" spans="1:6" ht="86.4">
      <c r="A139" s="85">
        <f t="shared" si="5"/>
        <v>1</v>
      </c>
      <c r="B139"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"Transport" table,  right-click it and choose "Insert" and then "Table rows above"</v>
      </c>
      <c r="C139" s="6" t="s">
        <v>1144</v>
      </c>
      <c r="D139" s="6" t="s">
        <v>1145</v>
      </c>
      <c r="E139" s="6" t="s">
        <v>1146</v>
      </c>
      <c r="F139" s="6" t="s">
        <v>1147</v>
      </c>
    </row>
    <row r="140" spans="1:6">
      <c r="A140" s="85">
        <f t="shared" si="5"/>
        <v>1</v>
      </c>
      <c r="B140" s="6" t="str">
        <f t="shared" si="6"/>
        <v>Total transport-related cost</v>
      </c>
      <c r="C140" s="6" t="s">
        <v>1148</v>
      </c>
      <c r="D140" s="6" t="s">
        <v>1149</v>
      </c>
      <c r="E140" s="6" t="s">
        <v>1150</v>
      </c>
      <c r="F140" s="6" t="s">
        <v>1151</v>
      </c>
    </row>
    <row r="141" spans="1:6">
      <c r="A141" s="85">
        <f t="shared" si="5"/>
        <v>1</v>
      </c>
      <c r="B141" s="6" t="str">
        <f t="shared" si="6"/>
        <v>Total annual facility and transportation cost</v>
      </c>
      <c r="C141" s="6" t="s">
        <v>1152</v>
      </c>
      <c r="D141" s="6" t="s">
        <v>1153</v>
      </c>
      <c r="E141" s="6" t="s">
        <v>1154</v>
      </c>
      <c r="F141" s="6" t="s">
        <v>1155</v>
      </c>
    </row>
    <row r="142" spans="1:6">
      <c r="A142" s="85">
        <f t="shared" si="5"/>
        <v>1</v>
      </c>
      <c r="B142" s="6" t="str">
        <f t="shared" si="6"/>
        <v>Facility and transportation cost per sample</v>
      </c>
      <c r="C142" s="6" t="s">
        <v>1156</v>
      </c>
      <c r="D142" s="6" t="s">
        <v>1157</v>
      </c>
      <c r="E142" s="6" t="s">
        <v>1158</v>
      </c>
      <c r="F142" s="6" t="s">
        <v>1159</v>
      </c>
    </row>
    <row r="143" spans="1:6">
      <c r="A143" s="85">
        <f t="shared" si="5"/>
        <v>1</v>
      </c>
      <c r="B143" s="6" t="str">
        <f t="shared" si="6"/>
        <v>Regional to national reference laboratory</v>
      </c>
      <c r="C143" s="6" t="s">
        <v>1160</v>
      </c>
      <c r="D143" s="6" t="s">
        <v>1161</v>
      </c>
      <c r="E143" s="6" t="s">
        <v>1162</v>
      </c>
      <c r="F143" s="6" t="s">
        <v>1163</v>
      </c>
    </row>
    <row r="144" spans="1:6">
      <c r="A144" s="85">
        <f t="shared" si="5"/>
        <v>1</v>
      </c>
      <c r="B144" s="6" t="str">
        <f t="shared" si="6"/>
        <v>Insurance (if applicable)</v>
      </c>
      <c r="C144" s="6" t="s">
        <v>1164</v>
      </c>
      <c r="D144" s="6" t="s">
        <v>1165</v>
      </c>
      <c r="E144" s="6" t="s">
        <v>1166</v>
      </c>
      <c r="F144" s="6" t="s">
        <v>1167</v>
      </c>
    </row>
    <row r="145" spans="1:6">
      <c r="A145" s="85">
        <f t="shared" si="5"/>
        <v>1</v>
      </c>
      <c r="B145" s="6" t="str">
        <f t="shared" si="6"/>
        <v>Exportation fees (if applicable)</v>
      </c>
      <c r="C145" s="6" t="s">
        <v>1168</v>
      </c>
      <c r="D145" s="6" t="s">
        <v>1169</v>
      </c>
      <c r="E145" s="6" t="s">
        <v>1170</v>
      </c>
      <c r="F145" s="6" t="s">
        <v>1171</v>
      </c>
    </row>
    <row r="146" spans="1:6">
      <c r="A146" s="85">
        <f t="shared" si="5"/>
        <v>1</v>
      </c>
      <c r="B146" s="6" t="str">
        <f t="shared" si="6"/>
        <v>Customs clearance fees</v>
      </c>
      <c r="C146" s="6" t="s">
        <v>1172</v>
      </c>
      <c r="D146" s="6" t="s">
        <v>1173</v>
      </c>
      <c r="E146" s="6" t="s">
        <v>1174</v>
      </c>
      <c r="F146" s="6" t="s">
        <v>1175</v>
      </c>
    </row>
    <row r="147" spans="1:6">
      <c r="A147" s="85">
        <f t="shared" si="5"/>
        <v>1</v>
      </c>
      <c r="B147" s="6" t="str">
        <f t="shared" si="6"/>
        <v>Courier</v>
      </c>
      <c r="C147" s="6" t="s">
        <v>1176</v>
      </c>
      <c r="D147" s="6" t="s">
        <v>1177</v>
      </c>
      <c r="E147" s="6" t="s">
        <v>1178</v>
      </c>
      <c r="F147" s="6" t="s">
        <v>1176</v>
      </c>
    </row>
    <row r="148" spans="1:6" ht="28.8">
      <c r="A148" s="85">
        <f t="shared" si="5"/>
        <v>1</v>
      </c>
      <c r="B148" s="6" t="str">
        <f t="shared" si="6"/>
        <v>Bioinformatics cost – by type of bioinformatics equipment or software solution</v>
      </c>
      <c r="C148" s="6" t="s">
        <v>1179</v>
      </c>
      <c r="D148" s="6" t="s">
        <v>1180</v>
      </c>
      <c r="E148" s="6" t="s">
        <v>1181</v>
      </c>
      <c r="F148" s="6" t="s">
        <v>1182</v>
      </c>
    </row>
    <row r="149" spans="1:6" ht="86.4">
      <c r="A149" s="85">
        <f t="shared" si="5"/>
        <v>1</v>
      </c>
      <c r="B149" s="6" t="str">
        <f t="shared" si="6"/>
        <v>Please fill out the section as per your selection of bioinformatics in the Data Entry sheet: cloud-based or in-house. For hybrid, please fill out both cloud-based and in-house sections. 
If you select Cloud-based and this is outsourced, please enter the total purchase cost; the cost per sample will be calculated automatically</v>
      </c>
      <c r="C149" s="6" t="s">
        <v>1183</v>
      </c>
      <c r="D149" s="6" t="s">
        <v>1184</v>
      </c>
      <c r="E149" s="6" t="s">
        <v>1185</v>
      </c>
      <c r="F149" s="6" t="s">
        <v>1186</v>
      </c>
    </row>
    <row r="150" spans="1:6">
      <c r="A150" s="85">
        <f t="shared" si="5"/>
        <v>1</v>
      </c>
      <c r="B150" s="6" t="str">
        <f t="shared" si="6"/>
        <v>Cloud-based analysis software</v>
      </c>
      <c r="C150" s="6" t="s">
        <v>66</v>
      </c>
      <c r="D150" s="6" t="s">
        <v>799</v>
      </c>
      <c r="E150" s="6" t="s">
        <v>1187</v>
      </c>
      <c r="F150" s="6" t="s">
        <v>801</v>
      </c>
    </row>
    <row r="151" spans="1:6">
      <c r="A151" s="85">
        <f t="shared" si="5"/>
        <v>1</v>
      </c>
      <c r="B151" s="6" t="str">
        <f t="shared" si="6"/>
        <v xml:space="preserve">Software platforms and storage </v>
      </c>
      <c r="C151" s="6" t="s">
        <v>1188</v>
      </c>
      <c r="D151" s="6" t="s">
        <v>1189</v>
      </c>
      <c r="E151" s="6" t="s">
        <v>1190</v>
      </c>
      <c r="F151" s="6" t="s">
        <v>1191</v>
      </c>
    </row>
    <row r="152" spans="1:6">
      <c r="A152" s="85">
        <f t="shared" si="5"/>
        <v>1</v>
      </c>
      <c r="B152" s="6" t="str">
        <f t="shared" si="6"/>
        <v>Description </v>
      </c>
      <c r="C152" s="6" t="s">
        <v>1192</v>
      </c>
      <c r="D152" s="6" t="s">
        <v>1193</v>
      </c>
      <c r="E152" s="6" t="s">
        <v>1194</v>
      </c>
      <c r="F152" s="6" t="s">
        <v>1195</v>
      </c>
    </row>
    <row r="153" spans="1:6">
      <c r="A153" s="85">
        <f t="shared" si="5"/>
        <v>1</v>
      </c>
      <c r="B153" s="6" t="str">
        <f t="shared" si="6"/>
        <v>Price per unit (USD)</v>
      </c>
      <c r="C153" s="6" t="s">
        <v>1196</v>
      </c>
      <c r="D153" s="6" t="s">
        <v>1197</v>
      </c>
      <c r="E153" s="6" t="s">
        <v>1198</v>
      </c>
      <c r="F153" s="6" t="s">
        <v>1199</v>
      </c>
    </row>
    <row r="154" spans="1:6">
      <c r="A154" s="85">
        <f t="shared" si="5"/>
        <v>1</v>
      </c>
      <c r="B154" s="6" t="str">
        <f t="shared" si="6"/>
        <v>Quantity of units</v>
      </c>
      <c r="C154" s="6" t="s">
        <v>1200</v>
      </c>
      <c r="D154" s="6" t="s">
        <v>1201</v>
      </c>
      <c r="E154" s="6" t="s">
        <v>1202</v>
      </c>
      <c r="F154" s="6" t="s">
        <v>1203</v>
      </c>
    </row>
    <row r="155" spans="1:6">
      <c r="A155" s="85">
        <f t="shared" si="5"/>
        <v>1</v>
      </c>
      <c r="B155" s="6" t="str">
        <f t="shared" si="6"/>
        <v>Total cost for the selected pathogens</v>
      </c>
      <c r="C155" s="6" t="s">
        <v>1204</v>
      </c>
      <c r="D155" s="6" t="s">
        <v>1205</v>
      </c>
      <c r="E155" s="6" t="s">
        <v>1206</v>
      </c>
      <c r="F155" s="6" t="s">
        <v>1207</v>
      </c>
    </row>
    <row r="156" spans="1:6">
      <c r="A156" s="85">
        <f t="shared" si="5"/>
        <v>1</v>
      </c>
      <c r="B156" s="6" t="str">
        <f t="shared" si="6"/>
        <v>Note</v>
      </c>
      <c r="C156" s="6" t="s">
        <v>1208</v>
      </c>
      <c r="D156" s="6" t="s">
        <v>1209</v>
      </c>
      <c r="E156" s="6" t="s">
        <v>1210</v>
      </c>
      <c r="F156" s="6" t="s">
        <v>1208</v>
      </c>
    </row>
    <row r="157" spans="1:6">
      <c r="A157" s="85">
        <f t="shared" si="5"/>
        <v>1</v>
      </c>
      <c r="B157" s="6" t="str">
        <f t="shared" si="6"/>
        <v>Comments</v>
      </c>
      <c r="C157" s="6" t="s">
        <v>41</v>
      </c>
      <c r="D157" s="6" t="s">
        <v>1038</v>
      </c>
      <c r="E157" s="6" t="s">
        <v>1039</v>
      </c>
      <c r="F157" s="6" t="s">
        <v>1040</v>
      </c>
    </row>
    <row r="158" spans="1:6">
      <c r="A158" s="85">
        <f t="shared" si="5"/>
        <v>1</v>
      </c>
      <c r="B158" s="6" t="str">
        <f t="shared" si="6"/>
        <v>Single user annual licence</v>
      </c>
      <c r="C158" s="6" t="s">
        <v>1211</v>
      </c>
      <c r="D158" s="6" t="s">
        <v>1212</v>
      </c>
      <c r="E158" s="6" t="s">
        <v>1213</v>
      </c>
      <c r="F158" s="6" t="s">
        <v>1214</v>
      </c>
    </row>
    <row r="159" spans="1:6" ht="28.8">
      <c r="A159" s="85">
        <f t="shared" si="5"/>
        <v>1</v>
      </c>
      <c r="B159" s="6" t="str">
        <f t="shared" si="6"/>
        <v>For added storage beyond 1 TB over 1 year. If this is utilized, enter 0.36 as Price (USD)</v>
      </c>
      <c r="C159" s="6" t="s">
        <v>1215</v>
      </c>
      <c r="D159" s="6" t="s">
        <v>1216</v>
      </c>
      <c r="E159" s="6" t="s">
        <v>1217</v>
      </c>
      <c r="F159" s="6" t="s">
        <v>1218</v>
      </c>
    </row>
    <row r="160" spans="1:6">
      <c r="A160" s="85">
        <f t="shared" si="5"/>
        <v>1</v>
      </c>
      <c r="B160" s="6" t="str">
        <f t="shared" si="6"/>
        <v>Single user annual licence</v>
      </c>
      <c r="C160" s="6" t="s">
        <v>1211</v>
      </c>
      <c r="D160" s="6" t="s">
        <v>1212</v>
      </c>
      <c r="E160" s="6" t="s">
        <v>1213</v>
      </c>
      <c r="F160" s="6" t="s">
        <v>1214</v>
      </c>
    </row>
    <row r="161" spans="1:6" ht="28.8">
      <c r="A161" s="85">
        <f t="shared" si="5"/>
        <v>1</v>
      </c>
      <c r="B161" s="6" t="str">
        <f t="shared" si="6"/>
        <v>Computing and storage cost. If this is utilized, enter 0.5 (SARS-CoV-2 analysis)</v>
      </c>
      <c r="C161" s="6" t="s">
        <v>1219</v>
      </c>
      <c r="D161" s="6" t="s">
        <v>1220</v>
      </c>
      <c r="E161" s="6" t="s">
        <v>1221</v>
      </c>
      <c r="F161" s="6" t="s">
        <v>1222</v>
      </c>
    </row>
    <row r="162" spans="1:6">
      <c r="A162" s="85">
        <f t="shared" si="5"/>
        <v>1</v>
      </c>
      <c r="B162" s="6" t="str">
        <f t="shared" si="6"/>
        <v>Software plus computational</v>
      </c>
      <c r="C162" s="6" t="s">
        <v>1223</v>
      </c>
      <c r="D162" s="6" t="s">
        <v>1224</v>
      </c>
      <c r="E162" s="6" t="s">
        <v>1225</v>
      </c>
      <c r="F162" s="6" t="s">
        <v>1226</v>
      </c>
    </row>
    <row r="163" spans="1:6">
      <c r="A163" s="85">
        <f t="shared" si="5"/>
        <v>1</v>
      </c>
      <c r="B163" s="6" t="str">
        <f t="shared" si="6"/>
        <v>External HDD – 1TB for storage</v>
      </c>
      <c r="C163" s="6" t="s">
        <v>1227</v>
      </c>
      <c r="D163" s="6" t="s">
        <v>1228</v>
      </c>
      <c r="E163" s="6" t="s">
        <v>1229</v>
      </c>
      <c r="F163" s="6" t="s">
        <v>1230</v>
      </c>
    </row>
    <row r="164" spans="1:6" ht="28.8">
      <c r="A164" s="85">
        <f t="shared" si="5"/>
        <v>1</v>
      </c>
      <c r="B164" s="6" t="str">
        <f t="shared" si="6"/>
        <v xml:space="preserve">If outsourced, enter total fee in Price (USD) column and enter Quantity as 1 </v>
      </c>
      <c r="C164" s="6" t="s">
        <v>1231</v>
      </c>
      <c r="D164" s="6" t="s">
        <v>1232</v>
      </c>
      <c r="E164" s="6" t="s">
        <v>1233</v>
      </c>
      <c r="F164" s="365" t="s">
        <v>1234</v>
      </c>
    </row>
    <row r="165" spans="1:6">
      <c r="A165" s="85">
        <f t="shared" si="5"/>
        <v>1</v>
      </c>
      <c r="B165" s="6" t="str">
        <f t="shared" si="6"/>
        <v>Up to 1 TB storage is free and COVID Lineage App is free</v>
      </c>
      <c r="C165" s="6" t="s">
        <v>1235</v>
      </c>
      <c r="D165" s="6" t="s">
        <v>1236</v>
      </c>
      <c r="E165" s="6" t="s">
        <v>1237</v>
      </c>
      <c r="F165" s="6" t="s">
        <v>1238</v>
      </c>
    </row>
    <row r="166" spans="1:6">
      <c r="A166" s="85">
        <f t="shared" si="5"/>
        <v>1</v>
      </c>
      <c r="B166" s="6">
        <f t="shared" si="6"/>
        <v>0</v>
      </c>
      <c r="F166" s="6"/>
    </row>
    <row r="167" spans="1:6" ht="86.4">
      <c r="A167" s="85">
        <f t="shared" si="5"/>
        <v>1</v>
      </c>
      <c r="B167"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"Cloud-based analysis software" table,  right-click it and choose "Insert" and then "Table rows above"</v>
      </c>
      <c r="C167" s="6" t="s">
        <v>1239</v>
      </c>
      <c r="D167" s="6" t="s">
        <v>1240</v>
      </c>
      <c r="E167" s="6" t="s">
        <v>1241</v>
      </c>
      <c r="F167" s="6" t="s">
        <v>1242</v>
      </c>
    </row>
    <row r="168" spans="1:6">
      <c r="A168" s="85">
        <f t="shared" si="5"/>
        <v>1</v>
      </c>
      <c r="B168" s="6" t="str">
        <f t="shared" si="6"/>
        <v>Total purchase cost</v>
      </c>
      <c r="C168" s="6" t="s">
        <v>1243</v>
      </c>
      <c r="D168" s="6" t="s">
        <v>1244</v>
      </c>
      <c r="E168" s="6" t="s">
        <v>1245</v>
      </c>
      <c r="F168" s="6" t="s">
        <v>1246</v>
      </c>
    </row>
    <row r="169" spans="1:6">
      <c r="A169" s="85">
        <f t="shared" si="5"/>
        <v>1</v>
      </c>
      <c r="B169" s="6" t="str">
        <f t="shared" si="6"/>
        <v>Total cost per sample</v>
      </c>
      <c r="C169" s="6" t="s">
        <v>1247</v>
      </c>
      <c r="D169" s="6" t="s">
        <v>1248</v>
      </c>
      <c r="E169" s="6" t="s">
        <v>1249</v>
      </c>
      <c r="F169" s="6" t="s">
        <v>1250</v>
      </c>
    </row>
    <row r="170" spans="1:6">
      <c r="A170" s="85">
        <f t="shared" si="5"/>
        <v>1</v>
      </c>
      <c r="B170" s="6" t="str">
        <f t="shared" si="6"/>
        <v>In-house computing</v>
      </c>
      <c r="C170" s="6" t="s">
        <v>71</v>
      </c>
      <c r="D170" s="6" t="s">
        <v>1251</v>
      </c>
      <c r="E170" s="6" t="s">
        <v>1252</v>
      </c>
      <c r="F170" s="6" t="s">
        <v>1253</v>
      </c>
    </row>
    <row r="171" spans="1:6">
      <c r="A171" s="85">
        <f t="shared" si="5"/>
        <v>1</v>
      </c>
      <c r="B171" s="6" t="str">
        <f t="shared" si="6"/>
        <v>Component </v>
      </c>
      <c r="C171" s="6" t="s">
        <v>1254</v>
      </c>
      <c r="D171" s="6" t="s">
        <v>1255</v>
      </c>
      <c r="E171" s="6" t="s">
        <v>1256</v>
      </c>
      <c r="F171" s="6" t="s">
        <v>1257</v>
      </c>
    </row>
    <row r="172" spans="1:6">
      <c r="A172" s="85">
        <f t="shared" si="5"/>
        <v>1</v>
      </c>
      <c r="B172" s="6" t="str">
        <f t="shared" si="6"/>
        <v xml:space="preserve"># lifetime years </v>
      </c>
      <c r="C172" s="6" t="s">
        <v>1258</v>
      </c>
      <c r="D172" s="6" t="s">
        <v>1259</v>
      </c>
      <c r="E172" s="6" t="s">
        <v>1260</v>
      </c>
      <c r="F172" s="6" t="s">
        <v>1261</v>
      </c>
    </row>
    <row r="173" spans="1:6">
      <c r="A173" s="85">
        <f t="shared" si="5"/>
        <v>1</v>
      </c>
      <c r="B173" s="6" t="str">
        <f t="shared" si="6"/>
        <v>Depreciation value / year</v>
      </c>
      <c r="C173" s="6" t="s">
        <v>1262</v>
      </c>
      <c r="D173" s="6" t="s">
        <v>1263</v>
      </c>
      <c r="E173" s="6" t="s">
        <v>1264</v>
      </c>
      <c r="F173" s="6" t="s">
        <v>1265</v>
      </c>
    </row>
    <row r="174" spans="1:6">
      <c r="A174" s="85">
        <f t="shared" si="5"/>
        <v>1</v>
      </c>
      <c r="B174" s="6" t="str">
        <f t="shared" si="6"/>
        <v>High-processing server</v>
      </c>
      <c r="C174" s="6" t="s">
        <v>1266</v>
      </c>
      <c r="D174" s="6" t="s">
        <v>1267</v>
      </c>
      <c r="E174" s="6" t="s">
        <v>1268</v>
      </c>
      <c r="F174" s="6" t="s">
        <v>1269</v>
      </c>
    </row>
    <row r="175" spans="1:6">
      <c r="A175" s="85">
        <f t="shared" si="5"/>
        <v>1</v>
      </c>
      <c r="B175" s="6" t="str">
        <f t="shared" si="6"/>
        <v>Server for bioinformatic storage and processing</v>
      </c>
      <c r="C175" s="6" t="s">
        <v>1270</v>
      </c>
      <c r="D175" s="6" t="s">
        <v>1271</v>
      </c>
      <c r="E175" s="6" t="s">
        <v>1272</v>
      </c>
      <c r="F175" s="6" t="s">
        <v>1273</v>
      </c>
    </row>
    <row r="176" spans="1:6">
      <c r="A176" s="85">
        <f t="shared" si="5"/>
        <v>1</v>
      </c>
      <c r="B176" s="6" t="str">
        <f t="shared" si="6"/>
        <v>HPE DL380 Gen10 8SFF CTO server (server chassis)</v>
      </c>
      <c r="C176" s="6" t="s">
        <v>1274</v>
      </c>
      <c r="D176" s="6" t="s">
        <v>1275</v>
      </c>
      <c r="E176" s="6" t="s">
        <v>1276</v>
      </c>
      <c r="F176" s="6" t="s">
        <v>1277</v>
      </c>
    </row>
    <row r="177" spans="1:6" ht="28.8">
      <c r="A177" s="85">
        <f t="shared" si="5"/>
        <v>1</v>
      </c>
      <c r="B177" s="6" t="str">
        <f t="shared" si="6"/>
        <v>Intel Xeon-Gold 6234 (3.3GHz/8-core/130W) FIO processor kit for HPE ProLiant DL380 Gen10 </v>
      </c>
      <c r="C177" s="6" t="s">
        <v>1278</v>
      </c>
      <c r="D177" s="6" t="s">
        <v>1279</v>
      </c>
      <c r="E177" s="6" t="s">
        <v>1280</v>
      </c>
      <c r="F177" s="6" t="s">
        <v>1281</v>
      </c>
    </row>
    <row r="178" spans="1:6" ht="28.8">
      <c r="A178" s="85">
        <f t="shared" si="5"/>
        <v>1</v>
      </c>
      <c r="B178" s="6" t="str">
        <f t="shared" si="6"/>
        <v>HPE 32GB (1x32GB) Dual Rank x4 DDR4-2933 CAS-21-21-21 registered smart memory kit </v>
      </c>
      <c r="C178" s="6" t="s">
        <v>1282</v>
      </c>
      <c r="D178" s="6" t="s">
        <v>1283</v>
      </c>
      <c r="E178" s="6" t="s">
        <v>1284</v>
      </c>
      <c r="F178" s="6" t="s">
        <v>1285</v>
      </c>
    </row>
    <row r="179" spans="1:6" ht="28.8">
      <c r="A179" s="85">
        <f t="shared" si="5"/>
        <v>1</v>
      </c>
      <c r="B179" s="6" t="str">
        <f t="shared" si="6"/>
        <v>HPE NS204i-p x2 Lanes NVMe PCIe3 x8 OS Boot Device (boot drives – solid state storage)</v>
      </c>
      <c r="C179" s="6" t="s">
        <v>1286</v>
      </c>
      <c r="D179" s="6" t="s">
        <v>1287</v>
      </c>
      <c r="E179" s="6" t="s">
        <v>1288</v>
      </c>
      <c r="F179" s="6" t="s">
        <v>1289</v>
      </c>
    </row>
    <row r="180" spans="1:6">
      <c r="A180" s="85">
        <f t="shared" si="5"/>
        <v>1</v>
      </c>
      <c r="B180" s="6" t="str">
        <f t="shared" si="6"/>
        <v>NVIDIA A100 40GB PCIe computational accelerator for HPE  (GPU)</v>
      </c>
      <c r="C180" s="6" t="s">
        <v>1290</v>
      </c>
      <c r="D180" s="6" t="s">
        <v>1291</v>
      </c>
      <c r="E180" s="6" t="s">
        <v>1292</v>
      </c>
      <c r="F180" s="6" t="s">
        <v>1293</v>
      </c>
    </row>
    <row r="181" spans="1:6" ht="28.8">
      <c r="A181" s="85">
        <f t="shared" si="5"/>
        <v>1</v>
      </c>
      <c r="B181" s="6" t="str">
        <f t="shared" si="6"/>
        <v>HPE Smart Array P408i-a SR Gen10 (8 internal lanes/2GB cache) 12G SAS modular controller </v>
      </c>
      <c r="C181" s="6" t="s">
        <v>1294</v>
      </c>
      <c r="D181" s="6" t="s">
        <v>1295</v>
      </c>
      <c r="E181" s="6" t="s">
        <v>1296</v>
      </c>
      <c r="F181" s="6" t="s">
        <v>1297</v>
      </c>
    </row>
    <row r="182" spans="1:6">
      <c r="A182" s="85">
        <f t="shared" si="5"/>
        <v>1</v>
      </c>
      <c r="B182" s="6" t="str">
        <f t="shared" si="6"/>
        <v>HPE DL Gen10 x16/x16 GPU riser kit </v>
      </c>
      <c r="C182" s="6" t="s">
        <v>1298</v>
      </c>
      <c r="D182" s="6" t="s">
        <v>1299</v>
      </c>
      <c r="E182" s="6" t="s">
        <v>1300</v>
      </c>
      <c r="F182" s="6" t="s">
        <v>1301</v>
      </c>
    </row>
    <row r="183" spans="1:6" ht="28.8">
      <c r="A183" s="85">
        <f t="shared" si="5"/>
        <v>1</v>
      </c>
      <c r="B183" s="6" t="str">
        <f t="shared" si="6"/>
        <v>HPE 96W Smart Storage lithium-ion battery with 145mm cable kit (storage battery)</v>
      </c>
      <c r="C183" s="6" t="s">
        <v>1302</v>
      </c>
      <c r="D183" s="6" t="s">
        <v>1303</v>
      </c>
      <c r="E183" s="6" t="s">
        <v>1304</v>
      </c>
      <c r="F183" s="6" t="s">
        <v>1305</v>
      </c>
    </row>
    <row r="184" spans="1:6">
      <c r="A184" s="85">
        <f t="shared" si="5"/>
        <v>1</v>
      </c>
      <c r="B184" s="6" t="str">
        <f t="shared" si="6"/>
        <v>HPE ethernet 10Gb 2-port FLR-SFP+ BCM57414 adapter (networking)</v>
      </c>
      <c r="C184" s="6" t="s">
        <v>1306</v>
      </c>
      <c r="D184" s="6" t="s">
        <v>1307</v>
      </c>
      <c r="E184" s="6" t="s">
        <v>1308</v>
      </c>
      <c r="F184" s="6" t="s">
        <v>1309</v>
      </c>
    </row>
    <row r="185" spans="1:6">
      <c r="A185" s="85">
        <f t="shared" si="5"/>
        <v>1</v>
      </c>
      <c r="B185" s="6" t="str">
        <f t="shared" si="6"/>
        <v>HPE BladeSystem c-Class 10Gb SFP+ SR transceiver (networking)</v>
      </c>
      <c r="C185" s="6" t="s">
        <v>1310</v>
      </c>
      <c r="D185" s="6" t="s">
        <v>1311</v>
      </c>
      <c r="E185" s="6" t="s">
        <v>1312</v>
      </c>
      <c r="F185" s="6" t="s">
        <v>1313</v>
      </c>
    </row>
    <row r="186" spans="1:6">
      <c r="A186" s="85">
        <f t="shared" si="5"/>
        <v>1</v>
      </c>
      <c r="B186" s="6" t="str">
        <f t="shared" si="6"/>
        <v>HPE DL38X Gen10 high performance temperature fan kit  (cooling)</v>
      </c>
      <c r="C186" s="6" t="s">
        <v>1314</v>
      </c>
      <c r="D186" s="6" t="s">
        <v>1315</v>
      </c>
      <c r="E186" s="6" t="s">
        <v>1316</v>
      </c>
      <c r="F186" s="6" t="s">
        <v>1317</v>
      </c>
    </row>
    <row r="187" spans="1:6">
      <c r="A187" s="85">
        <f t="shared" si="5"/>
        <v>1</v>
      </c>
      <c r="B187" s="6" t="str">
        <f t="shared" si="6"/>
        <v>HPE 800W Flex Slot Platinum Hot Plug Low Halogen power supply kit </v>
      </c>
      <c r="C187" s="6" t="s">
        <v>1318</v>
      </c>
      <c r="D187" s="6" t="s">
        <v>1319</v>
      </c>
      <c r="E187" s="6" t="s">
        <v>1320</v>
      </c>
      <c r="F187" s="6" t="s">
        <v>1321</v>
      </c>
    </row>
    <row r="188" spans="1:6">
      <c r="A188" s="85">
        <f t="shared" si="5"/>
        <v>1</v>
      </c>
      <c r="B188" s="6" t="str">
        <f t="shared" si="6"/>
        <v>HPE 2U Large Form Factor Easy Install Rail kit (rack mount)</v>
      </c>
      <c r="C188" s="6" t="s">
        <v>1322</v>
      </c>
      <c r="D188" s="6" t="s">
        <v>1323</v>
      </c>
      <c r="E188" s="6" t="s">
        <v>1324</v>
      </c>
      <c r="F188" s="6" t="s">
        <v>1325</v>
      </c>
    </row>
    <row r="189" spans="1:6">
      <c r="A189" s="85">
        <f t="shared" si="5"/>
        <v>1</v>
      </c>
      <c r="B189" s="6" t="str">
        <f t="shared" si="6"/>
        <v>HPE DL380 Gen10 High Performance Heat Sink kit (cooling)</v>
      </c>
      <c r="C189" s="6" t="s">
        <v>1326</v>
      </c>
      <c r="D189" s="6" t="s">
        <v>1327</v>
      </c>
      <c r="E189" s="6" t="s">
        <v>1328</v>
      </c>
      <c r="F189" s="6" t="s">
        <v>1329</v>
      </c>
    </row>
    <row r="190" spans="1:6">
      <c r="A190" s="85">
        <f t="shared" si="5"/>
        <v>1</v>
      </c>
      <c r="B190" s="6" t="str">
        <f t="shared" si="6"/>
        <v>Monitor for bioinformatic analysis</v>
      </c>
      <c r="C190" s="6" t="s">
        <v>1330</v>
      </c>
      <c r="D190" s="6" t="s">
        <v>1331</v>
      </c>
      <c r="E190" s="6" t="s">
        <v>1332</v>
      </c>
      <c r="F190" s="6" t="s">
        <v>1333</v>
      </c>
    </row>
    <row r="191" spans="1:6">
      <c r="A191" s="85">
        <f t="shared" si="5"/>
        <v>1</v>
      </c>
      <c r="B191" s="6" t="str">
        <f t="shared" si="6"/>
        <v>Server including maintenance fees</v>
      </c>
      <c r="C191" s="6" t="s">
        <v>1334</v>
      </c>
      <c r="D191" s="6" t="s">
        <v>1335</v>
      </c>
      <c r="E191" s="6" t="s">
        <v>1336</v>
      </c>
      <c r="F191" s="6" t="s">
        <v>1337</v>
      </c>
    </row>
    <row r="192" spans="1:6">
      <c r="A192" s="85">
        <f t="shared" si="5"/>
        <v>1</v>
      </c>
      <c r="B192" s="6" t="str">
        <f t="shared" si="6"/>
        <v>Monitor</v>
      </c>
      <c r="C192" s="6" t="s">
        <v>1338</v>
      </c>
      <c r="D192" s="6" t="s">
        <v>1339</v>
      </c>
      <c r="E192" s="6" t="s">
        <v>1338</v>
      </c>
      <c r="F192" s="6" t="s">
        <v>1340</v>
      </c>
    </row>
    <row r="193" spans="1:6">
      <c r="A193" s="85">
        <f t="shared" si="5"/>
        <v>1</v>
      </c>
      <c r="B193" s="6" t="str">
        <f t="shared" si="6"/>
        <v>Server maintenance</v>
      </c>
      <c r="C193" s="6" t="s">
        <v>1341</v>
      </c>
      <c r="D193" s="6" t="s">
        <v>1342</v>
      </c>
      <c r="E193" s="6" t="s">
        <v>1343</v>
      </c>
      <c r="F193" s="6" t="s">
        <v>1344</v>
      </c>
    </row>
    <row r="194" spans="1:6" ht="86.4">
      <c r="A194" s="85">
        <f t="shared" si="5"/>
        <v>1</v>
      </c>
      <c r="B194" s="6" t="str">
        <f t="shared" si="6"/>
        <v>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high throughput" table,  right-click it and choose "Insert" and then "Table rows above"</v>
      </c>
      <c r="C194" s="6" t="s">
        <v>1345</v>
      </c>
      <c r="D194" s="6" t="s">
        <v>1346</v>
      </c>
      <c r="E194" s="6" t="s">
        <v>1347</v>
      </c>
      <c r="F194" s="6" t="s">
        <v>1348</v>
      </c>
    </row>
    <row r="195" spans="1:6">
      <c r="A195" s="85">
        <f t="shared" si="5"/>
        <v>1</v>
      </c>
      <c r="B195" s="6" t="str">
        <f t="shared" si="6"/>
        <v xml:space="preserve">Depreciation cost </v>
      </c>
      <c r="C195" s="6" t="s">
        <v>1349</v>
      </c>
      <c r="D195" s="6" t="s">
        <v>973</v>
      </c>
      <c r="E195" s="6" t="s">
        <v>1350</v>
      </c>
      <c r="F195" s="6" t="s">
        <v>1351</v>
      </c>
    </row>
    <row r="196" spans="1:6">
      <c r="A196" s="85">
        <f t="shared" ref="A196:A259" si="7">$B$2</f>
        <v>1</v>
      </c>
      <c r="B196" s="6" t="str">
        <f t="shared" si="6"/>
        <v>In-house computing - low/mid throughput</v>
      </c>
      <c r="C196" s="6" t="s">
        <v>806</v>
      </c>
      <c r="D196" s="6" t="s">
        <v>1352</v>
      </c>
      <c r="E196" s="6" t="s">
        <v>1353</v>
      </c>
      <c r="F196" s="6" t="s">
        <v>809</v>
      </c>
    </row>
    <row r="197" spans="1:6">
      <c r="A197" s="85">
        <f t="shared" si="7"/>
        <v>1</v>
      </c>
      <c r="B197" s="6" t="str">
        <f t="shared" ref="B197:B260" si="8">IF($B$2=1,C197,IF($B$2=2,D197,IF($B$2=3,E197,F197)))</f>
        <v>Low/mid processing workstation</v>
      </c>
      <c r="C197" s="6" t="s">
        <v>1354</v>
      </c>
      <c r="D197" s="6" t="s">
        <v>1355</v>
      </c>
      <c r="E197" s="6" t="s">
        <v>1356</v>
      </c>
      <c r="F197" s="6" t="s">
        <v>1357</v>
      </c>
    </row>
    <row r="198" spans="1:6" ht="28.8">
      <c r="A198" s="85">
        <f t="shared" si="7"/>
        <v>1</v>
      </c>
      <c r="B198" s="6" t="str">
        <f t="shared" si="8"/>
        <v>Computer workstation for bioinformatic analysis processing and storage</v>
      </c>
      <c r="C198" s="6" t="s">
        <v>1358</v>
      </c>
      <c r="D198" s="6" t="s">
        <v>1359</v>
      </c>
      <c r="E198" s="6" t="s">
        <v>1360</v>
      </c>
      <c r="F198" s="6" t="s">
        <v>1361</v>
      </c>
    </row>
    <row r="199" spans="1:6">
      <c r="A199" s="85">
        <f t="shared" si="7"/>
        <v>1</v>
      </c>
      <c r="B199" s="6" t="str">
        <f t="shared" si="8"/>
        <v>Intel Xeon processor 6226R 2.9GHz 2933MHz 16C 150W CPU </v>
      </c>
      <c r="C199" s="6" t="s">
        <v>1362</v>
      </c>
      <c r="D199" s="6" t="s">
        <v>1363</v>
      </c>
      <c r="E199" s="6" t="s">
        <v>1364</v>
      </c>
      <c r="F199" s="6" t="s">
        <v>1365</v>
      </c>
    </row>
    <row r="200" spans="1:6">
      <c r="A200" s="85">
        <f t="shared" si="7"/>
        <v>1</v>
      </c>
      <c r="B200" s="6" t="str">
        <f t="shared" si="8"/>
        <v>Intel Xeon processor 6226R 2.9GHz 2933MHz 16C 150W CPU </v>
      </c>
      <c r="C200" s="6" t="s">
        <v>1362</v>
      </c>
      <c r="D200" s="6" t="s">
        <v>1363</v>
      </c>
      <c r="E200" s="6" t="s">
        <v>1364</v>
      </c>
      <c r="F200" s="6" t="s">
        <v>1365</v>
      </c>
    </row>
    <row r="201" spans="1:6">
      <c r="A201" s="85">
        <f t="shared" si="7"/>
        <v>1</v>
      </c>
      <c r="B201" s="6" t="str">
        <f t="shared" si="8"/>
        <v>Memory drive – 128GB (4x32GB) DDR4 2933 DIMM ECC </v>
      </c>
      <c r="C201" s="6" t="s">
        <v>1366</v>
      </c>
      <c r="D201" s="6" t="s">
        <v>1367</v>
      </c>
      <c r="E201" s="6" t="s">
        <v>1368</v>
      </c>
      <c r="F201" s="6" t="s">
        <v>1369</v>
      </c>
    </row>
    <row r="202" spans="1:6">
      <c r="A202" s="85">
        <f t="shared" si="7"/>
        <v>1</v>
      </c>
      <c r="B202" s="6" t="str">
        <f t="shared" si="8"/>
        <v>Storage drives – 8TB 7200RPM SATA 3.5in enterprise </v>
      </c>
      <c r="C202" s="6" t="s">
        <v>1370</v>
      </c>
      <c r="D202" s="6" t="s">
        <v>1371</v>
      </c>
      <c r="E202" s="6" t="s">
        <v>1372</v>
      </c>
      <c r="F202" s="6" t="s">
        <v>1373</v>
      </c>
    </row>
    <row r="203" spans="1:6">
      <c r="A203" s="85">
        <f t="shared" si="7"/>
        <v>1</v>
      </c>
      <c r="B203" s="6" t="str">
        <f t="shared" si="8"/>
        <v>Keyboard USB business slim wired keyboard </v>
      </c>
      <c r="C203" s="6" t="s">
        <v>1374</v>
      </c>
      <c r="D203" s="6" t="s">
        <v>1375</v>
      </c>
      <c r="E203" s="6" t="s">
        <v>1376</v>
      </c>
      <c r="F203" s="6" t="s">
        <v>1377</v>
      </c>
    </row>
    <row r="204" spans="1:6">
      <c r="A204" s="85">
        <f t="shared" si="7"/>
        <v>1</v>
      </c>
      <c r="B204" s="6" t="str">
        <f t="shared" si="8"/>
        <v>HP optical wired mouse USB </v>
      </c>
      <c r="C204" s="6" t="s">
        <v>1378</v>
      </c>
      <c r="D204" s="6" t="s">
        <v>1379</v>
      </c>
      <c r="E204" s="6" t="s">
        <v>1380</v>
      </c>
      <c r="F204" s="6" t="s">
        <v>1381</v>
      </c>
    </row>
    <row r="205" spans="1:6">
      <c r="A205" s="85">
        <f t="shared" si="7"/>
        <v>1</v>
      </c>
      <c r="B205" s="6" t="str">
        <f t="shared" si="8"/>
        <v>9.5mm DVD-writer 1st ODD </v>
      </c>
      <c r="C205" s="6" t="s">
        <v>1382</v>
      </c>
      <c r="D205" s="6" t="s">
        <v>1383</v>
      </c>
      <c r="E205" s="6" t="s">
        <v>1384</v>
      </c>
      <c r="F205" s="6" t="s">
        <v>1385</v>
      </c>
    </row>
    <row r="206" spans="1:6">
      <c r="A206" s="85">
        <f t="shared" si="7"/>
        <v>1</v>
      </c>
      <c r="B206" s="6" t="str">
        <f t="shared" si="8"/>
        <v>HP SD card reader </v>
      </c>
      <c r="C206" s="6" t="s">
        <v>1386</v>
      </c>
      <c r="D206" s="6" t="s">
        <v>1387</v>
      </c>
      <c r="E206" s="6" t="s">
        <v>1388</v>
      </c>
      <c r="F206" s="6" t="s">
        <v>1389</v>
      </c>
    </row>
    <row r="207" spans="1:6">
      <c r="A207" s="85">
        <f t="shared" si="7"/>
        <v>1</v>
      </c>
      <c r="B207" s="6" t="str">
        <f t="shared" si="8"/>
        <v>HP Z6 G4 memory cooling solution </v>
      </c>
      <c r="C207" s="6" t="s">
        <v>1390</v>
      </c>
      <c r="D207" s="6" t="s">
        <v>1391</v>
      </c>
      <c r="E207" s="6" t="s">
        <v>1392</v>
      </c>
      <c r="F207" s="6" t="s">
        <v>1393</v>
      </c>
    </row>
    <row r="208" spans="1:6">
      <c r="A208" s="85">
        <f t="shared" si="7"/>
        <v>1</v>
      </c>
      <c r="B208" s="6" t="str">
        <f t="shared" si="8"/>
        <v>NAS drive – 64TB for storage</v>
      </c>
      <c r="C208" s="6" t="s">
        <v>1394</v>
      </c>
      <c r="D208" s="6" t="s">
        <v>1395</v>
      </c>
      <c r="E208" s="6" t="s">
        <v>1396</v>
      </c>
      <c r="F208" s="6" t="s">
        <v>1397</v>
      </c>
    </row>
    <row r="209" spans="1:6">
      <c r="A209" s="85">
        <f t="shared" si="7"/>
        <v>1</v>
      </c>
      <c r="B209" s="6" t="str">
        <f t="shared" si="8"/>
        <v>Monitor for bioinformatic analysis</v>
      </c>
      <c r="C209" s="6" t="s">
        <v>1330</v>
      </c>
      <c r="D209" s="6" t="s">
        <v>1331</v>
      </c>
      <c r="E209" s="6" t="s">
        <v>1332</v>
      </c>
      <c r="F209" s="6" t="s">
        <v>1333</v>
      </c>
    </row>
    <row r="210" spans="1:6">
      <c r="A210" s="85">
        <f t="shared" si="7"/>
        <v>1</v>
      </c>
      <c r="B210" s="6" t="str">
        <f t="shared" si="8"/>
        <v>External HDD – 1TB for storage</v>
      </c>
      <c r="C210" s="6" t="s">
        <v>1227</v>
      </c>
      <c r="D210" s="6" t="s">
        <v>1398</v>
      </c>
      <c r="E210" s="6" t="s">
        <v>1399</v>
      </c>
      <c r="F210" s="6" t="s">
        <v>1230</v>
      </c>
    </row>
    <row r="211" spans="1:6">
      <c r="A211" s="85">
        <f t="shared" si="7"/>
        <v>1</v>
      </c>
      <c r="B211" s="6" t="str">
        <f t="shared" si="8"/>
        <v>NAS </v>
      </c>
      <c r="C211" s="6" t="s">
        <v>1400</v>
      </c>
      <c r="D211" s="6" t="s">
        <v>1401</v>
      </c>
      <c r="E211" s="6" t="s">
        <v>1402</v>
      </c>
      <c r="F211" s="6" t="s">
        <v>1402</v>
      </c>
    </row>
    <row r="212" spans="1:6">
      <c r="A212" s="85">
        <f t="shared" si="7"/>
        <v>1</v>
      </c>
      <c r="B212" s="6" t="str">
        <f t="shared" si="8"/>
        <v>Monitor</v>
      </c>
      <c r="C212" s="6" t="s">
        <v>1338</v>
      </c>
      <c r="D212" s="6" t="s">
        <v>1339</v>
      </c>
      <c r="E212" s="6" t="s">
        <v>1338</v>
      </c>
      <c r="F212" s="6" t="s">
        <v>1340</v>
      </c>
    </row>
    <row r="213" spans="1:6">
      <c r="A213" s="85">
        <f t="shared" si="7"/>
        <v>1</v>
      </c>
      <c r="B213" s="6" t="str">
        <f t="shared" si="8"/>
        <v>External HDD </v>
      </c>
      <c r="C213" s="6" t="s">
        <v>1403</v>
      </c>
      <c r="D213" s="6" t="s">
        <v>1404</v>
      </c>
      <c r="E213" s="6" t="s">
        <v>1405</v>
      </c>
      <c r="F213" s="6" t="s">
        <v>1406</v>
      </c>
    </row>
    <row r="214" spans="1:6" ht="86.4">
      <c r="A214" s="85">
        <f t="shared" si="7"/>
        <v>1</v>
      </c>
      <c r="B214" s="6" t="str">
        <f t="shared" si="8"/>
        <v>In order to add additional items, please select the cells of the last row above the whole table, right-click it, choose "Insert" and then "Table rows above". Add additional row for the "Local currency" table on the right as well: select the cell in the same row as you did in the "In-house computing – low/mid throughput" table, right-click it and choose "Insert" and then "Table rows above"</v>
      </c>
      <c r="C214" s="6" t="s">
        <v>1407</v>
      </c>
      <c r="D214" s="6" t="s">
        <v>1408</v>
      </c>
      <c r="E214" s="6" t="s">
        <v>1409</v>
      </c>
      <c r="F214" s="6" t="s">
        <v>1410</v>
      </c>
    </row>
    <row r="215" spans="1:6">
      <c r="A215" s="85">
        <f t="shared" si="7"/>
        <v>1</v>
      </c>
      <c r="B215" s="6" t="str">
        <f t="shared" si="8"/>
        <v>Hybrid, in-house and cloud-based</v>
      </c>
      <c r="C215" s="6" t="s">
        <v>76</v>
      </c>
      <c r="D215" s="6" t="s">
        <v>1411</v>
      </c>
      <c r="E215" s="6" t="s">
        <v>811</v>
      </c>
      <c r="F215" s="6" t="s">
        <v>812</v>
      </c>
    </row>
    <row r="216" spans="1:6">
      <c r="A216" s="85">
        <f t="shared" si="7"/>
        <v>1</v>
      </c>
      <c r="B216" s="6" t="str">
        <f t="shared" si="8"/>
        <v>&lt;-- for users with a combination from options above</v>
      </c>
      <c r="C216" s="6" t="s">
        <v>1412</v>
      </c>
      <c r="D216" s="6" t="s">
        <v>1413</v>
      </c>
      <c r="E216" s="6" t="s">
        <v>1414</v>
      </c>
      <c r="F216" s="6" t="s">
        <v>1415</v>
      </c>
    </row>
    <row r="217" spans="1:6">
      <c r="A217" s="85">
        <f t="shared" si="7"/>
        <v>1</v>
      </c>
      <c r="B217" s="6" t="str">
        <f t="shared" si="8"/>
        <v>Total depreciation cost</v>
      </c>
      <c r="C217" s="6" t="s">
        <v>1416</v>
      </c>
      <c r="D217" s="6" t="s">
        <v>1417</v>
      </c>
      <c r="E217" s="6" t="s">
        <v>1418</v>
      </c>
      <c r="F217" s="6" t="s">
        <v>1419</v>
      </c>
    </row>
    <row r="218" spans="1:6">
      <c r="A218" s="85">
        <f t="shared" si="7"/>
        <v>1</v>
      </c>
      <c r="B218" s="6" t="str">
        <f t="shared" si="8"/>
        <v>Total hybrid purchase cost</v>
      </c>
      <c r="C218" s="6" t="s">
        <v>1420</v>
      </c>
      <c r="D218" s="6" t="s">
        <v>1421</v>
      </c>
      <c r="E218" s="6" t="s">
        <v>1422</v>
      </c>
      <c r="F218" s="6" t="s">
        <v>1423</v>
      </c>
    </row>
    <row r="219" spans="1:6">
      <c r="A219" s="85">
        <f t="shared" si="7"/>
        <v>1</v>
      </c>
      <c r="B219" s="6" t="str">
        <f t="shared" si="8"/>
        <v>Total hybrid operational cost (cloud purchase + depreciation)</v>
      </c>
      <c r="C219" s="6" t="s">
        <v>1424</v>
      </c>
      <c r="D219" s="6" t="s">
        <v>1425</v>
      </c>
      <c r="E219" s="6" t="s">
        <v>1426</v>
      </c>
      <c r="F219" s="6" t="s">
        <v>1427</v>
      </c>
    </row>
    <row r="220" spans="1:6">
      <c r="A220" s="85">
        <f t="shared" si="7"/>
        <v>1</v>
      </c>
      <c r="B220" s="6" t="str">
        <f t="shared" si="8"/>
        <v>Total hybrid cost per sample</v>
      </c>
      <c r="C220" s="6" t="s">
        <v>1428</v>
      </c>
      <c r="D220" s="6" t="s">
        <v>1429</v>
      </c>
      <c r="E220" s="6" t="s">
        <v>1430</v>
      </c>
      <c r="F220" s="6" t="s">
        <v>1431</v>
      </c>
    </row>
    <row r="221" spans="1:6">
      <c r="A221" s="85">
        <f t="shared" si="7"/>
        <v>1</v>
      </c>
      <c r="B221" s="6" t="str">
        <f t="shared" si="8"/>
        <v>Cloud-based</v>
      </c>
      <c r="C221" s="6" t="s">
        <v>1432</v>
      </c>
      <c r="D221" s="6" t="s">
        <v>1433</v>
      </c>
      <c r="E221" s="6" t="s">
        <v>1434</v>
      </c>
      <c r="F221" s="6" t="s">
        <v>1435</v>
      </c>
    </row>
    <row r="222" spans="1:6">
      <c r="A222" s="85">
        <f t="shared" si="7"/>
        <v>1</v>
      </c>
      <c r="B222" s="6" t="str">
        <f t="shared" si="8"/>
        <v>In-house</v>
      </c>
      <c r="C222" s="6" t="s">
        <v>1436</v>
      </c>
      <c r="D222" s="6" t="s">
        <v>1251</v>
      </c>
      <c r="E222" s="6" t="s">
        <v>1437</v>
      </c>
      <c r="F222" s="6" t="s">
        <v>1438</v>
      </c>
    </row>
    <row r="223" spans="1:6">
      <c r="A223" s="85">
        <f t="shared" si="7"/>
        <v>1</v>
      </c>
      <c r="B223" s="6" t="str">
        <f t="shared" si="8"/>
        <v>Illumina BaseSpace software and cloud storage</v>
      </c>
      <c r="C223" s="6" t="s">
        <v>1439</v>
      </c>
      <c r="D223" s="6" t="s">
        <v>1440</v>
      </c>
      <c r="E223" s="6" t="s">
        <v>1441</v>
      </c>
      <c r="F223" s="6" t="s">
        <v>1442</v>
      </c>
    </row>
    <row r="224" spans="1:6">
      <c r="A224" s="85">
        <f t="shared" si="7"/>
        <v>1</v>
      </c>
      <c r="B224" s="6" t="str">
        <f t="shared" si="8"/>
        <v>Illumina BaseSpace additional cloud storage</v>
      </c>
      <c r="C224" s="6" t="s">
        <v>1443</v>
      </c>
      <c r="D224" s="6" t="s">
        <v>1444</v>
      </c>
      <c r="E224" s="6" t="s">
        <v>1445</v>
      </c>
      <c r="F224" s="6" t="s">
        <v>1446</v>
      </c>
    </row>
    <row r="225" spans="1:6">
      <c r="A225" s="85">
        <f t="shared" si="7"/>
        <v>1</v>
      </c>
      <c r="B225" s="6" t="str">
        <f t="shared" si="8"/>
        <v>Qiagen CLC Genomics Workbench software</v>
      </c>
      <c r="C225" s="6" t="s">
        <v>1447</v>
      </c>
      <c r="D225" s="6" t="s">
        <v>1448</v>
      </c>
      <c r="E225" s="6" t="s">
        <v>1449</v>
      </c>
      <c r="F225" s="6" t="s">
        <v>1450</v>
      </c>
    </row>
    <row r="226" spans="1:6">
      <c r="A226" s="85">
        <f t="shared" si="7"/>
        <v>1</v>
      </c>
      <c r="B226" s="6" t="str">
        <f t="shared" si="8"/>
        <v>Terra.Bio computing and cloud storage</v>
      </c>
      <c r="C226" s="6" t="s">
        <v>1451</v>
      </c>
      <c r="D226" s="6" t="s">
        <v>1452</v>
      </c>
      <c r="E226" s="6" t="s">
        <v>1453</v>
      </c>
      <c r="F226" s="6" t="s">
        <v>1454</v>
      </c>
    </row>
    <row r="227" spans="1:6">
      <c r="A227" s="85">
        <f t="shared" si="7"/>
        <v>1</v>
      </c>
      <c r="B227" s="6" t="str">
        <f t="shared" si="8"/>
        <v>NextFlow tower software</v>
      </c>
      <c r="C227" s="6" t="s">
        <v>1455</v>
      </c>
      <c r="D227" s="6" t="s">
        <v>1456</v>
      </c>
      <c r="E227" s="6" t="s">
        <v>1457</v>
      </c>
      <c r="F227" s="6" t="s">
        <v>1458</v>
      </c>
    </row>
    <row r="228" spans="1:6">
      <c r="A228" s="85">
        <f t="shared" si="7"/>
        <v>1</v>
      </c>
      <c r="B228" s="6" t="str">
        <f t="shared" si="8"/>
        <v>External HDD for storage</v>
      </c>
      <c r="C228" s="6" t="s">
        <v>1459</v>
      </c>
      <c r="D228" s="6" t="s">
        <v>1460</v>
      </c>
      <c r="E228" s="6" t="s">
        <v>1461</v>
      </c>
      <c r="F228" s="6" t="s">
        <v>1462</v>
      </c>
    </row>
    <row r="229" spans="1:6">
      <c r="A229" s="85">
        <f t="shared" si="7"/>
        <v>1</v>
      </c>
      <c r="B229" s="6" t="str">
        <f t="shared" si="8"/>
        <v>Outsourced</v>
      </c>
      <c r="C229" s="6" t="s">
        <v>1463</v>
      </c>
      <c r="D229" s="6" t="s">
        <v>1464</v>
      </c>
      <c r="E229" s="6" t="s">
        <v>1465</v>
      </c>
      <c r="F229" s="6" t="s">
        <v>1466</v>
      </c>
    </row>
    <row r="230" spans="1:6">
      <c r="A230" s="85">
        <f t="shared" si="7"/>
        <v>1</v>
      </c>
      <c r="B230" s="6" t="str">
        <f t="shared" si="8"/>
        <v>Quality management</v>
      </c>
      <c r="C230" s="6" t="s">
        <v>879</v>
      </c>
      <c r="D230" s="6" t="s">
        <v>880</v>
      </c>
      <c r="E230" s="6" t="s">
        <v>881</v>
      </c>
      <c r="F230" s="6" t="s">
        <v>882</v>
      </c>
    </row>
    <row r="231" spans="1:6">
      <c r="A231" s="85">
        <f t="shared" si="7"/>
        <v>1</v>
      </c>
      <c r="B231" s="6" t="str">
        <f t="shared" si="8"/>
        <v>Quality management activity</v>
      </c>
      <c r="C231" s="6" t="s">
        <v>36</v>
      </c>
      <c r="D231" s="6" t="s">
        <v>1467</v>
      </c>
      <c r="E231" s="6" t="s">
        <v>1468</v>
      </c>
      <c r="F231" s="6" t="s">
        <v>1469</v>
      </c>
    </row>
    <row r="232" spans="1:6">
      <c r="A232" s="85">
        <f t="shared" si="7"/>
        <v>1</v>
      </c>
      <c r="B232" s="6" t="str">
        <f t="shared" si="8"/>
        <v>Cost</v>
      </c>
      <c r="C232" s="6" t="s">
        <v>37</v>
      </c>
      <c r="D232" s="6" t="s">
        <v>1470</v>
      </c>
      <c r="E232" s="6" t="s">
        <v>1471</v>
      </c>
      <c r="F232" s="6" t="s">
        <v>1472</v>
      </c>
    </row>
    <row r="233" spans="1:6">
      <c r="A233" s="85">
        <f t="shared" si="7"/>
        <v>1</v>
      </c>
      <c r="B233" s="6" t="str">
        <f t="shared" si="8"/>
        <v xml:space="preserve">Quantity </v>
      </c>
      <c r="C233" s="6" t="s">
        <v>38</v>
      </c>
      <c r="D233" s="6" t="s">
        <v>901</v>
      </c>
      <c r="E233" s="6" t="s">
        <v>902</v>
      </c>
      <c r="F233" s="6" t="s">
        <v>1473</v>
      </c>
    </row>
    <row r="234" spans="1:6">
      <c r="A234" s="85">
        <f t="shared" si="7"/>
        <v>1</v>
      </c>
      <c r="B234" s="6" t="str">
        <f t="shared" si="8"/>
        <v>Annual activity cost</v>
      </c>
      <c r="C234" s="6" t="s">
        <v>39</v>
      </c>
      <c r="D234" s="6" t="s">
        <v>1474</v>
      </c>
      <c r="E234" s="6" t="s">
        <v>1475</v>
      </c>
      <c r="F234" s="6" t="s">
        <v>1476</v>
      </c>
    </row>
    <row r="235" spans="1:6">
      <c r="A235" s="85">
        <f t="shared" si="7"/>
        <v>1</v>
      </c>
      <c r="B235" s="6" t="str">
        <f t="shared" si="8"/>
        <v>Annual activity cost per sample</v>
      </c>
      <c r="C235" s="6" t="s">
        <v>40</v>
      </c>
      <c r="D235" s="6" t="s">
        <v>1477</v>
      </c>
      <c r="E235" s="6" t="s">
        <v>1478</v>
      </c>
      <c r="F235" s="6" t="s">
        <v>1479</v>
      </c>
    </row>
    <row r="236" spans="1:6">
      <c r="A236" s="85">
        <f t="shared" si="7"/>
        <v>1</v>
      </c>
      <c r="B236" s="6" t="str">
        <f t="shared" si="8"/>
        <v>Comments</v>
      </c>
      <c r="C236" s="6" t="s">
        <v>41</v>
      </c>
      <c r="D236" s="6" t="s">
        <v>1038</v>
      </c>
      <c r="E236" s="6" t="s">
        <v>1039</v>
      </c>
      <c r="F236" s="6" t="s">
        <v>1040</v>
      </c>
    </row>
    <row r="237" spans="1:6">
      <c r="A237" s="85">
        <f t="shared" si="7"/>
        <v>1</v>
      </c>
      <c r="B237" s="6" t="str">
        <f t="shared" si="8"/>
        <v>ISO 15189 accreditation</v>
      </c>
      <c r="C237" s="6" t="s">
        <v>1480</v>
      </c>
      <c r="D237" s="6" t="s">
        <v>1481</v>
      </c>
      <c r="E237" s="6" t="s">
        <v>1482</v>
      </c>
      <c r="F237" s="6" t="s">
        <v>1483</v>
      </c>
    </row>
    <row r="238" spans="1:6">
      <c r="A238" s="85">
        <f t="shared" si="7"/>
        <v>1</v>
      </c>
      <c r="B238" s="6" t="str">
        <f t="shared" si="8"/>
        <v>External quality assessment – PCR</v>
      </c>
      <c r="C238" s="6" t="s">
        <v>1484</v>
      </c>
      <c r="D238" s="6" t="s">
        <v>1485</v>
      </c>
      <c r="E238" s="6" t="s">
        <v>1486</v>
      </c>
      <c r="F238" s="6" t="s">
        <v>1487</v>
      </c>
    </row>
    <row r="239" spans="1:6">
      <c r="A239" s="85">
        <f t="shared" si="7"/>
        <v>1</v>
      </c>
      <c r="B239" s="6" t="str">
        <f t="shared" si="8"/>
        <v>External quality assessment – NGS</v>
      </c>
      <c r="C239" s="6" t="s">
        <v>1488</v>
      </c>
      <c r="D239" s="6" t="s">
        <v>1489</v>
      </c>
      <c r="E239" s="6" t="s">
        <v>1490</v>
      </c>
      <c r="F239" s="6" t="s">
        <v>1491</v>
      </c>
    </row>
    <row r="240" spans="1:6">
      <c r="A240" s="85">
        <f t="shared" si="7"/>
        <v>1</v>
      </c>
      <c r="B240" s="6" t="str">
        <f t="shared" si="8"/>
        <v>Annual BSC certification</v>
      </c>
      <c r="C240" s="6" t="s">
        <v>1492</v>
      </c>
      <c r="D240" s="6" t="s">
        <v>1493</v>
      </c>
      <c r="E240" s="6" t="s">
        <v>1494</v>
      </c>
      <c r="F240" s="6" t="s">
        <v>1495</v>
      </c>
    </row>
    <row r="241" spans="1:7">
      <c r="A241" s="85">
        <f t="shared" si="7"/>
        <v>1</v>
      </c>
      <c r="B241" s="6" t="str">
        <f t="shared" si="8"/>
        <v>Quarterly distribution, including logistics</v>
      </c>
      <c r="C241" s="6" t="s">
        <v>1496</v>
      </c>
      <c r="D241" s="6" t="s">
        <v>1497</v>
      </c>
      <c r="E241" s="6" t="s">
        <v>1498</v>
      </c>
      <c r="F241" s="6" t="s">
        <v>1499</v>
      </c>
    </row>
    <row r="242" spans="1:7" ht="86.4">
      <c r="A242" s="85">
        <f t="shared" si="7"/>
        <v>1</v>
      </c>
      <c r="B242" s="6" t="str">
        <f t="shared" si="8"/>
        <v>In order to add additional QMS costs, please select the cells of the last row above the whole table, right-click it, choose "Insert" and then "Table rows above". Add additional row for the "Local currency" table on the right as well: select the cell in the same row as you did in the "Quality management" table,  right-click it and choose "Insert" and then "Table rows above"</v>
      </c>
      <c r="C242" s="6" t="s">
        <v>1500</v>
      </c>
      <c r="D242" s="6" t="s">
        <v>1501</v>
      </c>
      <c r="E242" s="6" t="s">
        <v>1502</v>
      </c>
      <c r="F242" s="6" t="s">
        <v>1503</v>
      </c>
    </row>
    <row r="243" spans="1:7">
      <c r="A243" s="85">
        <f t="shared" si="7"/>
        <v>1</v>
      </c>
      <c r="B243" s="6" t="str">
        <f t="shared" si="8"/>
        <v>Total annual QMS cost</v>
      </c>
      <c r="C243" s="6" t="s">
        <v>1504</v>
      </c>
      <c r="D243" s="6" t="s">
        <v>1505</v>
      </c>
      <c r="E243" s="6" t="s">
        <v>1506</v>
      </c>
      <c r="F243" s="6" t="s">
        <v>1507</v>
      </c>
    </row>
    <row r="244" spans="1:7">
      <c r="A244" s="85">
        <f t="shared" si="7"/>
        <v>1</v>
      </c>
      <c r="B244" s="6" t="str">
        <f t="shared" si="8"/>
        <v>QMS cost per sample</v>
      </c>
      <c r="C244" s="6" t="s">
        <v>1508</v>
      </c>
      <c r="D244" s="6" t="s">
        <v>1509</v>
      </c>
      <c r="E244" s="6" t="s">
        <v>1510</v>
      </c>
      <c r="F244" s="6" t="s">
        <v>1511</v>
      </c>
    </row>
    <row r="245" spans="1:7">
      <c r="A245" s="85">
        <f t="shared" si="7"/>
        <v>1</v>
      </c>
      <c r="B245" s="6" t="str">
        <f t="shared" si="8"/>
        <v>Total annual transport-related cost</v>
      </c>
      <c r="C245" s="6" t="s">
        <v>1512</v>
      </c>
      <c r="D245" s="6" t="s">
        <v>1513</v>
      </c>
      <c r="E245" s="6" t="s">
        <v>1514</v>
      </c>
      <c r="F245" s="6" t="s">
        <v>1515</v>
      </c>
    </row>
    <row r="246" spans="1:7">
      <c r="A246" s="85">
        <f t="shared" si="7"/>
        <v>1</v>
      </c>
      <c r="B246" s="6" t="str">
        <f t="shared" si="8"/>
        <v>Total transport-related cost per sample</v>
      </c>
      <c r="C246" s="6" t="s">
        <v>1516</v>
      </c>
      <c r="D246" s="6" t="s">
        <v>1517</v>
      </c>
      <c r="E246" s="6" t="s">
        <v>1518</v>
      </c>
      <c r="F246" s="6" t="s">
        <v>1519</v>
      </c>
    </row>
    <row r="247" spans="1:7">
      <c r="A247" s="85">
        <f t="shared" si="7"/>
        <v>1</v>
      </c>
      <c r="B247" s="6" t="str">
        <f t="shared" si="8"/>
        <v>Fixed titles and totals</v>
      </c>
      <c r="C247" s="6" t="s">
        <v>1520</v>
      </c>
      <c r="D247" s="6" t="s">
        <v>1521</v>
      </c>
      <c r="E247" s="6" t="s">
        <v>1522</v>
      </c>
      <c r="F247" s="6" t="s">
        <v>1523</v>
      </c>
    </row>
    <row r="248" spans="1:7">
      <c r="A248" s="85">
        <f t="shared" si="7"/>
        <v>1</v>
      </c>
      <c r="B248" s="6" t="str">
        <f t="shared" si="8"/>
        <v>General information and legends</v>
      </c>
      <c r="C248" s="6" t="s">
        <v>1524</v>
      </c>
      <c r="D248" s="6" t="s">
        <v>1525</v>
      </c>
      <c r="E248" s="6" t="s">
        <v>1526</v>
      </c>
      <c r="F248" s="6" t="s">
        <v>1527</v>
      </c>
    </row>
    <row r="249" spans="1:7">
      <c r="A249" s="85">
        <f t="shared" si="7"/>
        <v>1</v>
      </c>
      <c r="B249" s="6" t="str">
        <f t="shared" si="8"/>
        <v>PCR workstation</v>
      </c>
      <c r="C249" s="6" t="s">
        <v>1528</v>
      </c>
      <c r="D249" s="6" t="s">
        <v>1529</v>
      </c>
      <c r="E249" s="6" t="s">
        <v>1530</v>
      </c>
      <c r="F249" s="6" t="s">
        <v>1531</v>
      </c>
      <c r="G249" s="6"/>
    </row>
    <row r="250" spans="1:7">
      <c r="A250" s="85">
        <f t="shared" si="7"/>
        <v>1</v>
      </c>
      <c r="B250" s="6" t="str">
        <f t="shared" si="8"/>
        <v>Plate magnet (for 96 well plate)</v>
      </c>
      <c r="C250" s="6" t="s">
        <v>1532</v>
      </c>
      <c r="D250" s="6" t="s">
        <v>1533</v>
      </c>
      <c r="E250" s="6" t="s">
        <v>1534</v>
      </c>
      <c r="F250" s="6" t="s">
        <v>1535</v>
      </c>
      <c r="G250" s="6"/>
    </row>
    <row r="251" spans="1:7">
      <c r="A251" s="85">
        <f t="shared" si="7"/>
        <v>1</v>
      </c>
      <c r="B251" s="6" t="str">
        <f t="shared" si="8"/>
        <v>Magnetic rack (for 12 1.5–2.0 mL tubes)</v>
      </c>
      <c r="C251" s="6" t="s">
        <v>1536</v>
      </c>
      <c r="D251" s="6" t="s">
        <v>1537</v>
      </c>
      <c r="E251" s="6" t="s">
        <v>1538</v>
      </c>
      <c r="F251" s="6" t="s">
        <v>1539</v>
      </c>
      <c r="G251" s="6"/>
    </row>
    <row r="252" spans="1:7">
      <c r="A252" s="85">
        <f t="shared" si="7"/>
        <v>1</v>
      </c>
      <c r="B252" s="6" t="str">
        <f t="shared" si="8"/>
        <v>PCR cooling plates/strip holders</v>
      </c>
      <c r="C252" s="6" t="s">
        <v>1540</v>
      </c>
      <c r="D252" s="6" t="s">
        <v>1541</v>
      </c>
      <c r="E252" s="6" t="s">
        <v>1542</v>
      </c>
      <c r="F252" s="6" t="s">
        <v>1543</v>
      </c>
    </row>
    <row r="253" spans="1:7">
      <c r="A253" s="85">
        <f t="shared" si="7"/>
        <v>1</v>
      </c>
      <c r="B253" s="6" t="str">
        <f t="shared" si="8"/>
        <v>Dry bath (heat block)</v>
      </c>
      <c r="C253" s="6" t="s">
        <v>1544</v>
      </c>
      <c r="D253" s="6" t="s">
        <v>1545</v>
      </c>
      <c r="E253" s="6" t="s">
        <v>1546</v>
      </c>
      <c r="F253" s="6" t="s">
        <v>1547</v>
      </c>
    </row>
    <row r="254" spans="1:7">
      <c r="A254" s="85">
        <f t="shared" si="7"/>
        <v>1</v>
      </c>
      <c r="B254" s="6" t="str">
        <f t="shared" si="8"/>
        <v>Biosafety cabinet, class II, type A2</v>
      </c>
      <c r="C254" s="6" t="s">
        <v>1548</v>
      </c>
      <c r="D254" s="6" t="s">
        <v>1549</v>
      </c>
      <c r="E254" s="6" t="s">
        <v>1550</v>
      </c>
      <c r="F254" s="6" t="s">
        <v>1551</v>
      </c>
    </row>
    <row r="255" spans="1:7">
      <c r="A255" s="85">
        <f t="shared" si="7"/>
        <v>1</v>
      </c>
      <c r="B255" s="6" t="str">
        <f t="shared" si="8"/>
        <v>Water bath 5L</v>
      </c>
      <c r="C255" s="6" t="s">
        <v>1552</v>
      </c>
      <c r="D255" s="6" t="s">
        <v>1553</v>
      </c>
      <c r="E255" s="6" t="s">
        <v>1554</v>
      </c>
      <c r="F255" s="6" t="s">
        <v>1555</v>
      </c>
    </row>
    <row r="256" spans="1:7">
      <c r="A256" s="85">
        <f t="shared" si="7"/>
        <v>1</v>
      </c>
      <c r="B256" s="6" t="str">
        <f t="shared" si="8"/>
        <v>Autoclave benchtop</v>
      </c>
      <c r="C256" s="6" t="s">
        <v>1556</v>
      </c>
      <c r="D256" s="6" t="s">
        <v>1557</v>
      </c>
      <c r="E256" s="6" t="s">
        <v>1558</v>
      </c>
      <c r="F256" s="6" t="s">
        <v>1559</v>
      </c>
    </row>
    <row r="257" spans="1:6">
      <c r="A257" s="85">
        <f t="shared" si="7"/>
        <v>1</v>
      </c>
      <c r="B257" s="6" t="str">
        <f t="shared" si="8"/>
        <v>Vortex</v>
      </c>
      <c r="C257" s="6" t="s">
        <v>1560</v>
      </c>
      <c r="D257" s="6" t="s">
        <v>1561</v>
      </c>
      <c r="E257" s="6" t="s">
        <v>1560</v>
      </c>
      <c r="F257" s="6" t="s">
        <v>1560</v>
      </c>
    </row>
    <row r="258" spans="1:6">
      <c r="A258" s="85">
        <f t="shared" si="7"/>
        <v>1</v>
      </c>
      <c r="B258" s="6" t="str">
        <f t="shared" si="8"/>
        <v>Analytical balance</v>
      </c>
      <c r="C258" s="6" t="s">
        <v>1562</v>
      </c>
      <c r="D258" s="6" t="s">
        <v>1563</v>
      </c>
      <c r="E258" s="6" t="s">
        <v>1564</v>
      </c>
      <c r="F258" s="6" t="s">
        <v>1565</v>
      </c>
    </row>
    <row r="259" spans="1:6">
      <c r="A259" s="85">
        <f t="shared" si="7"/>
        <v>1</v>
      </c>
      <c r="B259" s="6" t="str">
        <f t="shared" si="8"/>
        <v>(-)20  freezer</v>
      </c>
      <c r="C259" s="6" t="s">
        <v>1566</v>
      </c>
      <c r="D259" s="6" t="s">
        <v>1567</v>
      </c>
      <c r="E259" s="6" t="s">
        <v>1568</v>
      </c>
      <c r="F259" s="6" t="s">
        <v>1569</v>
      </c>
    </row>
    <row r="260" spans="1:6">
      <c r="A260" s="85">
        <f t="shared" ref="A260:A323" si="9">$B$2</f>
        <v>1</v>
      </c>
      <c r="B260" s="6" t="str">
        <f t="shared" si="8"/>
        <v>(-)80  freezer</v>
      </c>
      <c r="C260" s="6" t="s">
        <v>1570</v>
      </c>
      <c r="D260" s="6" t="s">
        <v>1571</v>
      </c>
      <c r="E260" s="6" t="s">
        <v>1572</v>
      </c>
      <c r="F260" s="6" t="s">
        <v>1573</v>
      </c>
    </row>
    <row r="261" spans="1:6">
      <c r="A261" s="85">
        <f t="shared" si="9"/>
        <v>1</v>
      </c>
      <c r="B261" s="6" t="str">
        <f t="shared" ref="B261:B324" si="10">IF($B$2=1,C261,IF($B$2=2,D261,IF($B$2=3,E261,F261)))</f>
        <v>Refrigerator (4C)</v>
      </c>
      <c r="C261" s="6" t="s">
        <v>1574</v>
      </c>
      <c r="D261" s="6" t="s">
        <v>1575</v>
      </c>
      <c r="E261" s="6" t="s">
        <v>1576</v>
      </c>
      <c r="F261" s="6" t="s">
        <v>1577</v>
      </c>
    </row>
    <row r="262" spans="1:6">
      <c r="A262" s="85">
        <f t="shared" si="9"/>
        <v>1</v>
      </c>
      <c r="B262" s="6" t="str">
        <f t="shared" si="10"/>
        <v>Gel electrophoresis apparatus</v>
      </c>
      <c r="C262" s="6" t="s">
        <v>1578</v>
      </c>
      <c r="D262" s="6" t="s">
        <v>1579</v>
      </c>
      <c r="E262" s="6" t="s">
        <v>1580</v>
      </c>
      <c r="F262" s="6" t="s">
        <v>1581</v>
      </c>
    </row>
    <row r="263" spans="1:6">
      <c r="A263" s="85">
        <f t="shared" si="9"/>
        <v>1</v>
      </c>
      <c r="B263" s="6" t="str">
        <f t="shared" si="10"/>
        <v>Uninterrupted power supply (1500V)</v>
      </c>
      <c r="C263" s="6" t="s">
        <v>1582</v>
      </c>
      <c r="D263" s="6" t="s">
        <v>1583</v>
      </c>
      <c r="E263" s="6" t="s">
        <v>1584</v>
      </c>
      <c r="F263" s="6" t="s">
        <v>1585</v>
      </c>
    </row>
    <row r="264" spans="1:6">
      <c r="A264" s="85">
        <f t="shared" si="9"/>
        <v>1</v>
      </c>
      <c r="B264" s="6" t="str">
        <f t="shared" si="10"/>
        <v xml:space="preserve">Uninterrupted power supply (600V); </v>
      </c>
      <c r="C264" s="6" t="s">
        <v>1586</v>
      </c>
      <c r="D264" s="6" t="s">
        <v>1587</v>
      </c>
      <c r="E264" s="6" t="s">
        <v>1588</v>
      </c>
      <c r="F264" s="6" t="s">
        <v>1589</v>
      </c>
    </row>
    <row r="265" spans="1:6">
      <c r="A265" s="85">
        <f t="shared" si="9"/>
        <v>1</v>
      </c>
      <c r="B265" s="6" t="str">
        <f t="shared" si="10"/>
        <v>Thermal cycler (conventional)</v>
      </c>
      <c r="C265" s="6" t="s">
        <v>1590</v>
      </c>
      <c r="D265" s="6" t="s">
        <v>1591</v>
      </c>
      <c r="E265" s="6" t="s">
        <v>1592</v>
      </c>
      <c r="F265" s="6" t="s">
        <v>1593</v>
      </c>
    </row>
    <row r="266" spans="1:6">
      <c r="A266" s="85">
        <f t="shared" si="9"/>
        <v>1</v>
      </c>
      <c r="B266" s="6" t="str">
        <f t="shared" si="10"/>
        <v>Thermal cycler (realtime)</v>
      </c>
      <c r="C266" s="6" t="s">
        <v>1594</v>
      </c>
      <c r="D266" s="6" t="s">
        <v>1595</v>
      </c>
      <c r="E266" s="6" t="s">
        <v>1596</v>
      </c>
      <c r="F266" s="6" t="s">
        <v>1597</v>
      </c>
    </row>
    <row r="267" spans="1:6">
      <c r="A267" s="85">
        <f t="shared" si="9"/>
        <v>1</v>
      </c>
      <c r="B267" s="6" t="str">
        <f t="shared" si="10"/>
        <v>Water purification system</v>
      </c>
      <c r="C267" s="6" t="s">
        <v>1598</v>
      </c>
      <c r="D267" s="6" t="s">
        <v>1599</v>
      </c>
      <c r="E267" s="6" t="s">
        <v>1600</v>
      </c>
      <c r="F267" s="6" t="s">
        <v>1601</v>
      </c>
    </row>
    <row r="268" spans="1:6">
      <c r="A268" s="85">
        <f t="shared" si="9"/>
        <v>1</v>
      </c>
      <c r="B268" s="6" t="str">
        <f t="shared" si="10"/>
        <v>Single channel pipette 100–1000μL</v>
      </c>
      <c r="C268" s="6" t="s">
        <v>1602</v>
      </c>
      <c r="D268" s="6" t="s">
        <v>1603</v>
      </c>
      <c r="E268" s="6" t="s">
        <v>1604</v>
      </c>
      <c r="F268" s="6" t="s">
        <v>1605</v>
      </c>
    </row>
    <row r="269" spans="1:6">
      <c r="A269" s="85">
        <f t="shared" si="9"/>
        <v>1</v>
      </c>
      <c r="B269" s="6" t="str">
        <f t="shared" si="10"/>
        <v>Single channel pipette 20–200μL</v>
      </c>
      <c r="C269" s="6" t="s">
        <v>1606</v>
      </c>
      <c r="D269" s="6" t="s">
        <v>1607</v>
      </c>
      <c r="E269" s="6" t="s">
        <v>1608</v>
      </c>
      <c r="F269" s="6" t="s">
        <v>1609</v>
      </c>
    </row>
    <row r="270" spans="1:6">
      <c r="A270" s="85">
        <f t="shared" si="9"/>
        <v>1</v>
      </c>
      <c r="B270" s="6" t="str">
        <f t="shared" si="10"/>
        <v>Single channel pipette 2–20μL</v>
      </c>
      <c r="C270" s="6" t="s">
        <v>1610</v>
      </c>
      <c r="D270" s="6" t="s">
        <v>1611</v>
      </c>
      <c r="E270" s="6" t="s">
        <v>1612</v>
      </c>
      <c r="F270" s="6" t="s">
        <v>1613</v>
      </c>
    </row>
    <row r="271" spans="1:6">
      <c r="A271" s="85">
        <f t="shared" si="9"/>
        <v>1</v>
      </c>
      <c r="B271" s="6" t="str">
        <f t="shared" si="10"/>
        <v>Single channel pipette 1–10μL</v>
      </c>
      <c r="C271" s="6" t="s">
        <v>1614</v>
      </c>
      <c r="D271" s="6" t="s">
        <v>1615</v>
      </c>
      <c r="E271" s="6" t="s">
        <v>1616</v>
      </c>
      <c r="F271" s="6" t="s">
        <v>1617</v>
      </c>
    </row>
    <row r="272" spans="1:6">
      <c r="A272" s="85">
        <f t="shared" si="9"/>
        <v>1</v>
      </c>
      <c r="B272" s="6" t="str">
        <f t="shared" si="10"/>
        <v>Single channel pipette 0.2–2μL</v>
      </c>
      <c r="C272" s="6" t="s">
        <v>1618</v>
      </c>
      <c r="D272" s="6" t="s">
        <v>1619</v>
      </c>
      <c r="E272" s="6" t="s">
        <v>1620</v>
      </c>
      <c r="F272" s="6" t="s">
        <v>1621</v>
      </c>
    </row>
    <row r="273" spans="1:6">
      <c r="A273" s="85">
        <f t="shared" si="9"/>
        <v>1</v>
      </c>
      <c r="B273" s="6" t="str">
        <f t="shared" si="10"/>
        <v>8-channel multichannel pipettes 10–100μL</v>
      </c>
      <c r="C273" s="6" t="s">
        <v>1622</v>
      </c>
      <c r="D273" s="6" t="s">
        <v>1623</v>
      </c>
      <c r="E273" s="6" t="s">
        <v>1624</v>
      </c>
      <c r="F273" s="6" t="s">
        <v>1625</v>
      </c>
    </row>
    <row r="274" spans="1:6">
      <c r="A274" s="85">
        <f t="shared" si="9"/>
        <v>1</v>
      </c>
      <c r="B274" s="6" t="str">
        <f t="shared" si="10"/>
        <v>Tube racks</v>
      </c>
      <c r="C274" s="6" t="s">
        <v>1626</v>
      </c>
      <c r="D274" s="6" t="s">
        <v>1627</v>
      </c>
      <c r="E274" s="6" t="s">
        <v>1628</v>
      </c>
      <c r="F274" s="6" t="s">
        <v>1629</v>
      </c>
    </row>
    <row r="275" spans="1:6">
      <c r="A275" s="85">
        <f t="shared" si="9"/>
        <v>1</v>
      </c>
      <c r="B275" s="6" t="str">
        <f t="shared" si="10"/>
        <v>Cooling block (tube strips)</v>
      </c>
      <c r="C275" s="6" t="s">
        <v>1630</v>
      </c>
      <c r="D275" s="6" t="s">
        <v>1631</v>
      </c>
      <c r="E275" s="6" t="s">
        <v>1632</v>
      </c>
      <c r="F275" s="6" t="s">
        <v>1633</v>
      </c>
    </row>
    <row r="276" spans="1:6">
      <c r="A276" s="85">
        <f t="shared" si="9"/>
        <v>1</v>
      </c>
      <c r="B276" s="6" t="str">
        <f t="shared" si="10"/>
        <v>Cooling block (96 well plate)</v>
      </c>
      <c r="C276" s="6" t="s">
        <v>1634</v>
      </c>
      <c r="D276" s="6" t="s">
        <v>1635</v>
      </c>
      <c r="E276" s="6" t="s">
        <v>1636</v>
      </c>
      <c r="F276" s="6" t="s">
        <v>1637</v>
      </c>
    </row>
    <row r="277" spans="1:6">
      <c r="A277" s="85">
        <f t="shared" si="9"/>
        <v>1</v>
      </c>
      <c r="B277" s="6" t="str">
        <f t="shared" si="10"/>
        <v>Ice bucket</v>
      </c>
      <c r="C277" s="6" t="s">
        <v>1638</v>
      </c>
      <c r="D277" s="6" t="s">
        <v>1639</v>
      </c>
      <c r="E277" s="6" t="s">
        <v>1640</v>
      </c>
      <c r="F277" s="6" t="s">
        <v>1641</v>
      </c>
    </row>
    <row r="278" spans="1:6">
      <c r="A278" s="85">
        <f t="shared" si="9"/>
        <v>1</v>
      </c>
      <c r="B278" s="6" t="str">
        <f t="shared" si="10"/>
        <v>Fluorometer, single assay</v>
      </c>
      <c r="C278" s="6" t="s">
        <v>1642</v>
      </c>
      <c r="D278" s="6" t="s">
        <v>1643</v>
      </c>
      <c r="E278" s="6" t="s">
        <v>1644</v>
      </c>
      <c r="F278" s="6" t="s">
        <v>1645</v>
      </c>
    </row>
    <row r="279" spans="1:6">
      <c r="A279" s="85">
        <f t="shared" si="9"/>
        <v>1</v>
      </c>
      <c r="B279" s="6" t="str">
        <f t="shared" si="10"/>
        <v>Fluorometer, strip tube capable</v>
      </c>
      <c r="C279" s="6" t="s">
        <v>1646</v>
      </c>
      <c r="D279" s="6" t="s">
        <v>1647</v>
      </c>
      <c r="E279" s="6" t="s">
        <v>1648</v>
      </c>
      <c r="F279" s="6" t="s">
        <v>1649</v>
      </c>
    </row>
    <row r="280" spans="1:6">
      <c r="A280" s="85">
        <f t="shared" si="9"/>
        <v>1</v>
      </c>
      <c r="B280" s="6" t="str">
        <f t="shared" si="10"/>
        <v>Air conditioners</v>
      </c>
      <c r="C280" s="6" t="s">
        <v>1650</v>
      </c>
      <c r="D280" s="6" t="s">
        <v>1651</v>
      </c>
      <c r="E280" s="6" t="s">
        <v>1652</v>
      </c>
      <c r="F280" s="6" t="s">
        <v>1653</v>
      </c>
    </row>
    <row r="281" spans="1:6">
      <c r="A281" s="85">
        <f t="shared" si="9"/>
        <v>1</v>
      </c>
      <c r="B281" s="6" t="str">
        <f t="shared" si="10"/>
        <v>Temperature logger</v>
      </c>
      <c r="C281" s="6" t="s">
        <v>1654</v>
      </c>
      <c r="D281" s="6" t="s">
        <v>1655</v>
      </c>
      <c r="E281" s="6" t="s">
        <v>1656</v>
      </c>
      <c r="F281" s="6" t="s">
        <v>1657</v>
      </c>
    </row>
    <row r="282" spans="1:6">
      <c r="A282" s="85">
        <f t="shared" si="9"/>
        <v>1</v>
      </c>
      <c r="B282" s="6" t="str">
        <f t="shared" si="10"/>
        <v>Centrifuge (plate)</v>
      </c>
      <c r="C282" s="6" t="s">
        <v>1658</v>
      </c>
      <c r="D282" s="6" t="s">
        <v>1659</v>
      </c>
      <c r="E282" s="6" t="s">
        <v>1660</v>
      </c>
      <c r="F282" s="6" t="s">
        <v>1661</v>
      </c>
    </row>
    <row r="283" spans="1:6">
      <c r="A283" s="85">
        <f t="shared" si="9"/>
        <v>1</v>
      </c>
      <c r="B283" s="6" t="str">
        <f t="shared" si="10"/>
        <v>Microcentrifuge (can hold  24 tubes of 1.5/2.0 mL)</v>
      </c>
      <c r="C283" s="6" t="s">
        <v>1662</v>
      </c>
      <c r="D283" s="6" t="s">
        <v>1663</v>
      </c>
      <c r="E283" s="6" t="s">
        <v>1664</v>
      </c>
      <c r="F283" s="6" t="s">
        <v>1665</v>
      </c>
    </row>
    <row r="284" spans="1:6">
      <c r="A284" s="85">
        <f t="shared" si="9"/>
        <v>1</v>
      </c>
      <c r="B284" s="6" t="str">
        <f t="shared" si="10"/>
        <v>Centrifuge, refrigerated</v>
      </c>
      <c r="C284" s="6" t="s">
        <v>1666</v>
      </c>
      <c r="D284" s="6" t="s">
        <v>1667</v>
      </c>
      <c r="E284" s="6" t="s">
        <v>1668</v>
      </c>
      <c r="F284" s="6" t="s">
        <v>1669</v>
      </c>
    </row>
    <row r="285" spans="1:6">
      <c r="A285" s="85">
        <f t="shared" si="9"/>
        <v>1</v>
      </c>
      <c r="B285" s="6" t="str">
        <f t="shared" si="10"/>
        <v>Liquid handler – extraction</v>
      </c>
      <c r="C285" s="6" t="s">
        <v>1670</v>
      </c>
      <c r="D285" s="6" t="s">
        <v>1671</v>
      </c>
      <c r="E285" s="6" t="s">
        <v>1672</v>
      </c>
      <c r="F285" s="6" t="s">
        <v>1673</v>
      </c>
    </row>
    <row r="286" spans="1:6">
      <c r="A286" s="85">
        <f t="shared" si="9"/>
        <v>1</v>
      </c>
      <c r="B286" s="6" t="str">
        <f t="shared" si="10"/>
        <v>Liquid handler – PCR</v>
      </c>
      <c r="C286" s="6" t="s">
        <v>1674</v>
      </c>
      <c r="D286" s="6" t="s">
        <v>1675</v>
      </c>
      <c r="E286" s="6" t="s">
        <v>1676</v>
      </c>
      <c r="F286" s="6" t="s">
        <v>1677</v>
      </c>
    </row>
    <row r="287" spans="1:6">
      <c r="A287" s="85">
        <f t="shared" si="9"/>
        <v>1</v>
      </c>
      <c r="B287" s="6" t="str">
        <f t="shared" si="10"/>
        <v>Bioanalyzer/TapeStation</v>
      </c>
      <c r="C287" s="6" t="s">
        <v>1678</v>
      </c>
      <c r="D287" s="6" t="s">
        <v>1679</v>
      </c>
      <c r="E287" s="6" t="s">
        <v>1680</v>
      </c>
      <c r="F287" s="6" t="s">
        <v>1681</v>
      </c>
    </row>
    <row r="288" spans="1:6">
      <c r="A288" s="85">
        <f t="shared" si="9"/>
        <v>1</v>
      </c>
      <c r="B288" s="6" t="str">
        <f t="shared" si="10"/>
        <v>Liquid handler – library preparation</v>
      </c>
      <c r="C288" s="6" t="s">
        <v>1682</v>
      </c>
      <c r="D288" s="6" t="s">
        <v>1683</v>
      </c>
      <c r="E288" s="6" t="s">
        <v>1684</v>
      </c>
      <c r="F288" s="6" t="s">
        <v>1685</v>
      </c>
    </row>
    <row r="289" spans="1:6">
      <c r="A289" s="85">
        <f t="shared" si="9"/>
        <v>1</v>
      </c>
      <c r="B289" s="6" t="str">
        <f t="shared" si="10"/>
        <v>Desktop computer</v>
      </c>
      <c r="C289" s="6" t="s">
        <v>1686</v>
      </c>
      <c r="D289" s="6" t="s">
        <v>1687</v>
      </c>
      <c r="E289" s="6" t="s">
        <v>1688</v>
      </c>
      <c r="F289" s="6" t="s">
        <v>1689</v>
      </c>
    </row>
    <row r="290" spans="1:6" ht="28.8">
      <c r="A290" s="85">
        <f t="shared" si="9"/>
        <v>1</v>
      </c>
      <c r="B290" s="6" t="str">
        <f t="shared" si="10"/>
        <v>Viral transport media sampling kits with 10 ml tubes and swabs (50-pck)</v>
      </c>
      <c r="C290" s="6" t="s">
        <v>1690</v>
      </c>
      <c r="D290" s="6" t="s">
        <v>1691</v>
      </c>
      <c r="E290" s="6" t="s">
        <v>1692</v>
      </c>
      <c r="F290" s="6" t="s">
        <v>1693</v>
      </c>
    </row>
    <row r="291" spans="1:6">
      <c r="A291" s="85">
        <f t="shared" si="9"/>
        <v>1</v>
      </c>
      <c r="B291" s="6" t="str">
        <f t="shared" si="10"/>
        <v>Specimen transport packaging (ambient) (150-pck)</v>
      </c>
      <c r="C291" s="6" t="s">
        <v>1694</v>
      </c>
      <c r="D291" s="6" t="s">
        <v>1695</v>
      </c>
      <c r="E291" s="6" t="s">
        <v>1696</v>
      </c>
      <c r="F291" s="6" t="s">
        <v>1697</v>
      </c>
    </row>
    <row r="292" spans="1:6">
      <c r="A292" s="85">
        <f t="shared" si="9"/>
        <v>1</v>
      </c>
      <c r="B292" s="6" t="str">
        <f t="shared" si="10"/>
        <v>Specimen transport packaging (2–8C) (150-pck)</v>
      </c>
      <c r="C292" s="6" t="s">
        <v>1698</v>
      </c>
      <c r="D292" s="6" t="s">
        <v>1699</v>
      </c>
      <c r="E292" s="6" t="s">
        <v>1700</v>
      </c>
      <c r="F292" s="6" t="s">
        <v>1701</v>
      </c>
    </row>
    <row r="293" spans="1:6">
      <c r="A293" s="85">
        <f t="shared" si="9"/>
        <v>1</v>
      </c>
      <c r="B293" s="6" t="str">
        <f t="shared" si="10"/>
        <v>Specimen transport packaging (-20C) (150-pck)</v>
      </c>
      <c r="C293" s="6" t="s">
        <v>1702</v>
      </c>
      <c r="D293" s="6" t="s">
        <v>1703</v>
      </c>
      <c r="E293" s="6" t="s">
        <v>1704</v>
      </c>
      <c r="F293" s="6" t="s">
        <v>1705</v>
      </c>
    </row>
    <row r="294" spans="1:6">
      <c r="A294" s="85">
        <f t="shared" si="9"/>
        <v>1</v>
      </c>
      <c r="B294" s="6" t="str">
        <f t="shared" si="10"/>
        <v>Cold packs (24-pck)</v>
      </c>
      <c r="C294" s="6" t="s">
        <v>1706</v>
      </c>
      <c r="D294" s="6" t="s">
        <v>1707</v>
      </c>
      <c r="E294" s="6" t="s">
        <v>1708</v>
      </c>
      <c r="F294" s="6" t="s">
        <v>1709</v>
      </c>
    </row>
    <row r="295" spans="1:6">
      <c r="A295" s="85">
        <f t="shared" si="9"/>
        <v>1</v>
      </c>
      <c r="B295" s="6" t="str">
        <f t="shared" si="10"/>
        <v>PCR plates (10/pack) 96-well reaction plate</v>
      </c>
      <c r="C295" s="6" t="s">
        <v>1710</v>
      </c>
      <c r="D295" s="6" t="s">
        <v>1711</v>
      </c>
      <c r="E295" s="6" t="s">
        <v>1712</v>
      </c>
      <c r="F295" s="6" t="s">
        <v>1713</v>
      </c>
    </row>
    <row r="296" spans="1:6">
      <c r="A296" s="85">
        <f t="shared" si="9"/>
        <v>1</v>
      </c>
      <c r="B296" s="6" t="str">
        <f t="shared" si="10"/>
        <v>PCR plate covers adhesive film (1 cover per plate)</v>
      </c>
      <c r="C296" s="6" t="s">
        <v>1714</v>
      </c>
      <c r="D296" s="6" t="s">
        <v>1715</v>
      </c>
      <c r="E296" s="6" t="s">
        <v>1716</v>
      </c>
      <c r="F296" s="6" t="s">
        <v>1717</v>
      </c>
    </row>
    <row r="297" spans="1:6">
      <c r="A297" s="85">
        <f t="shared" si="9"/>
        <v>1</v>
      </c>
      <c r="B297" s="6" t="str">
        <f t="shared" si="10"/>
        <v>Pipette filter tips 10uL (96 tips x 10 racks)</v>
      </c>
      <c r="C297" s="6" t="s">
        <v>1718</v>
      </c>
      <c r="D297" s="6" t="s">
        <v>1719</v>
      </c>
      <c r="E297" s="6" t="s">
        <v>1720</v>
      </c>
      <c r="F297" s="6" t="s">
        <v>1721</v>
      </c>
    </row>
    <row r="298" spans="1:6">
      <c r="A298" s="85">
        <f t="shared" si="9"/>
        <v>1</v>
      </c>
      <c r="B298" s="6" t="str">
        <f t="shared" si="10"/>
        <v>Pipette filter tips 100µL, sterile (pack of 960)</v>
      </c>
      <c r="C298" s="6" t="s">
        <v>1722</v>
      </c>
      <c r="D298" s="6" t="s">
        <v>1723</v>
      </c>
      <c r="E298" s="6" t="s">
        <v>1724</v>
      </c>
      <c r="F298" s="6" t="s">
        <v>1725</v>
      </c>
    </row>
    <row r="299" spans="1:6">
      <c r="A299" s="85">
        <f t="shared" si="9"/>
        <v>1</v>
      </c>
      <c r="B299" s="6" t="str">
        <f t="shared" si="10"/>
        <v>Pipette filter tips 200uL  (96 tips x 10 racks)</v>
      </c>
      <c r="C299" s="6" t="s">
        <v>1726</v>
      </c>
      <c r="D299" s="6" t="s">
        <v>1727</v>
      </c>
      <c r="E299" s="6" t="s">
        <v>1728</v>
      </c>
      <c r="F299" s="6" t="s">
        <v>1729</v>
      </c>
    </row>
    <row r="300" spans="1:6">
      <c r="A300" s="85">
        <f t="shared" si="9"/>
        <v>1</v>
      </c>
      <c r="B300" s="6" t="str">
        <f t="shared" si="10"/>
        <v>Pipette filter tips 1000uL  (96 tips x 10 racks)</v>
      </c>
      <c r="C300" s="6" t="s">
        <v>1730</v>
      </c>
      <c r="D300" s="6" t="s">
        <v>1731</v>
      </c>
      <c r="E300" s="6" t="s">
        <v>1732</v>
      </c>
      <c r="F300" s="6" t="s">
        <v>1733</v>
      </c>
    </row>
    <row r="301" spans="1:6">
      <c r="A301" s="85">
        <f t="shared" si="9"/>
        <v>1</v>
      </c>
      <c r="B301" s="6" t="str">
        <f t="shared" si="10"/>
        <v>0.2mL PCR tubes, thin-walled (1000; strips)</v>
      </c>
      <c r="C301" s="6" t="s">
        <v>1734</v>
      </c>
      <c r="D301" s="6" t="s">
        <v>1735</v>
      </c>
      <c r="E301" s="6" t="s">
        <v>1736</v>
      </c>
      <c r="F301" s="6" t="s">
        <v>1737</v>
      </c>
    </row>
    <row r="302" spans="1:6">
      <c r="A302" s="85">
        <f t="shared" si="9"/>
        <v>1</v>
      </c>
      <c r="B302" s="6" t="str">
        <f t="shared" si="10"/>
        <v>1.5mL PCR tubes, LoBind (250)</v>
      </c>
      <c r="C302" s="6" t="s">
        <v>1738</v>
      </c>
      <c r="D302" s="6" t="s">
        <v>1739</v>
      </c>
      <c r="E302" s="6" t="s">
        <v>1740</v>
      </c>
      <c r="F302" s="6" t="s">
        <v>1741</v>
      </c>
    </row>
    <row r="303" spans="1:6">
      <c r="A303" s="85">
        <f t="shared" si="9"/>
        <v>1</v>
      </c>
      <c r="B303" s="6" t="str">
        <f t="shared" si="10"/>
        <v>50mL conical tubes (100)</v>
      </c>
      <c r="C303" s="6" t="s">
        <v>1742</v>
      </c>
      <c r="D303" s="6" t="s">
        <v>1743</v>
      </c>
      <c r="E303" s="6" t="s">
        <v>1744</v>
      </c>
      <c r="F303" s="6" t="s">
        <v>1745</v>
      </c>
    </row>
    <row r="304" spans="1:6">
      <c r="A304" s="85">
        <f t="shared" si="9"/>
        <v>1</v>
      </c>
      <c r="B304" s="6" t="str">
        <f t="shared" si="10"/>
        <v>Conical centrifuge tubes 15mL (packs of 500)</v>
      </c>
      <c r="C304" s="6" t="s">
        <v>1746</v>
      </c>
      <c r="D304" s="6" t="s">
        <v>1747</v>
      </c>
      <c r="E304" s="6" t="s">
        <v>1748</v>
      </c>
      <c r="F304" s="6" t="s">
        <v>1749</v>
      </c>
    </row>
    <row r="305" spans="1:6">
      <c r="A305" s="85">
        <f t="shared" si="9"/>
        <v>1</v>
      </c>
      <c r="B305" s="6" t="str">
        <f t="shared" si="10"/>
        <v>Heat sealing film foil (pack of 100)</v>
      </c>
      <c r="C305" s="6" t="s">
        <v>1750</v>
      </c>
      <c r="D305" s="6" t="s">
        <v>1751</v>
      </c>
      <c r="E305" s="6" t="s">
        <v>1752</v>
      </c>
      <c r="F305" s="6" t="s">
        <v>1753</v>
      </c>
    </row>
    <row r="306" spans="1:6">
      <c r="A306" s="85">
        <f t="shared" si="9"/>
        <v>1</v>
      </c>
      <c r="B306" s="6" t="str">
        <f t="shared" si="10"/>
        <v>PolarSafe aluminum cooling block, 15-well for 1.5/2.0 mL tubes</v>
      </c>
      <c r="C306" s="6" t="s">
        <v>1754</v>
      </c>
      <c r="D306" s="6" t="s">
        <v>1755</v>
      </c>
      <c r="E306" s="6" t="s">
        <v>1756</v>
      </c>
      <c r="F306" s="6" t="s">
        <v>1757</v>
      </c>
    </row>
    <row r="307" spans="1:6">
      <c r="A307" s="85">
        <f t="shared" si="9"/>
        <v>1</v>
      </c>
      <c r="B307" s="6" t="str">
        <f t="shared" si="10"/>
        <v>RNA extraction kit (250 reactions)</v>
      </c>
      <c r="C307" s="6" t="s">
        <v>1758</v>
      </c>
      <c r="D307" s="6" t="s">
        <v>1759</v>
      </c>
      <c r="E307" s="6" t="s">
        <v>1760</v>
      </c>
      <c r="F307" s="6" t="s">
        <v>1761</v>
      </c>
    </row>
    <row r="308" spans="1:6">
      <c r="A308" s="85">
        <f t="shared" si="9"/>
        <v>1</v>
      </c>
      <c r="B308" s="6" t="str">
        <f t="shared" si="10"/>
        <v>PCR testing kit (96 reactions)</v>
      </c>
      <c r="C308" s="6" t="s">
        <v>1762</v>
      </c>
      <c r="D308" s="6" t="s">
        <v>1763</v>
      </c>
      <c r="E308" s="6" t="s">
        <v>1764</v>
      </c>
      <c r="F308" s="6" t="s">
        <v>1765</v>
      </c>
    </row>
    <row r="309" spans="1:6">
      <c r="A309" s="85">
        <f t="shared" si="9"/>
        <v>1</v>
      </c>
      <c r="B309" s="6" t="str">
        <f t="shared" si="10"/>
        <v>Primers for preamplification (500 rxns)</v>
      </c>
      <c r="C309" s="6" t="s">
        <v>1766</v>
      </c>
      <c r="D309" s="6" t="s">
        <v>1767</v>
      </c>
      <c r="E309" s="6" t="s">
        <v>1768</v>
      </c>
      <c r="F309" s="6" t="s">
        <v>1769</v>
      </c>
    </row>
    <row r="310" spans="1:6">
      <c r="A310" s="85">
        <f t="shared" si="9"/>
        <v>1</v>
      </c>
      <c r="B310" s="6" t="str">
        <f t="shared" si="10"/>
        <v>Fluorometer DNA HS assay kit (500)</v>
      </c>
      <c r="C310" s="6" t="s">
        <v>1770</v>
      </c>
      <c r="D310" s="6" t="s">
        <v>1771</v>
      </c>
      <c r="E310" s="6" t="s">
        <v>1772</v>
      </c>
      <c r="F310" s="6" t="s">
        <v>1773</v>
      </c>
    </row>
    <row r="311" spans="1:6">
      <c r="A311" s="85">
        <f t="shared" si="9"/>
        <v>1</v>
      </c>
      <c r="B311" s="6" t="str">
        <f t="shared" si="10"/>
        <v>Fluorometer assay tubes (500)</v>
      </c>
      <c r="C311" s="6" t="s">
        <v>1774</v>
      </c>
      <c r="D311" s="6" t="s">
        <v>1775</v>
      </c>
      <c r="E311" s="6" t="s">
        <v>1776</v>
      </c>
      <c r="F311" s="6" t="s">
        <v>1777</v>
      </c>
    </row>
    <row r="312" spans="1:6">
      <c r="A312" s="85">
        <f t="shared" si="9"/>
        <v>1</v>
      </c>
      <c r="B312" s="6" t="str">
        <f t="shared" si="10"/>
        <v>Gel sizing DNA ladder</v>
      </c>
      <c r="C312" s="6" t="s">
        <v>1778</v>
      </c>
      <c r="D312" s="6" t="s">
        <v>1779</v>
      </c>
      <c r="E312" s="6" t="s">
        <v>1780</v>
      </c>
      <c r="F312" s="6" t="s">
        <v>1781</v>
      </c>
    </row>
    <row r="313" spans="1:6">
      <c r="A313" s="85">
        <f t="shared" si="9"/>
        <v>1</v>
      </c>
      <c r="B313" s="6" t="str">
        <f t="shared" si="10"/>
        <v>Agarose gels 2% (20 gels)</v>
      </c>
      <c r="C313" s="6" t="s">
        <v>1782</v>
      </c>
      <c r="D313" s="6" t="s">
        <v>1783</v>
      </c>
      <c r="E313" s="6" t="s">
        <v>1784</v>
      </c>
      <c r="F313" s="6" t="s">
        <v>1785</v>
      </c>
    </row>
    <row r="314" spans="1:6">
      <c r="A314" s="85">
        <f t="shared" si="9"/>
        <v>1</v>
      </c>
      <c r="B314" s="6" t="str">
        <f t="shared" si="10"/>
        <v>DNA loading buffer</v>
      </c>
      <c r="C314" s="6" t="s">
        <v>1786</v>
      </c>
      <c r="D314" s="6" t="s">
        <v>1787</v>
      </c>
      <c r="E314" s="6" t="s">
        <v>1788</v>
      </c>
      <c r="F314" s="6" t="s">
        <v>1789</v>
      </c>
    </row>
    <row r="315" spans="1:6">
      <c r="A315" s="85">
        <f t="shared" si="9"/>
        <v>1</v>
      </c>
      <c r="B315" s="6" t="str">
        <f t="shared" si="10"/>
        <v>Reagent reservoir, sterile (pack of 50)</v>
      </c>
      <c r="C315" s="6" t="s">
        <v>1790</v>
      </c>
      <c r="D315" s="6" t="s">
        <v>1791</v>
      </c>
      <c r="E315" s="6" t="s">
        <v>1792</v>
      </c>
      <c r="F315" s="6" t="s">
        <v>1793</v>
      </c>
    </row>
    <row r="316" spans="1:6">
      <c r="A316" s="85">
        <f t="shared" si="9"/>
        <v>1</v>
      </c>
      <c r="B316" s="6" t="str">
        <f t="shared" si="10"/>
        <v>NaOH, 1N 100mL</v>
      </c>
      <c r="C316" s="6" t="s">
        <v>1794</v>
      </c>
      <c r="D316" s="6" t="s">
        <v>1795</v>
      </c>
      <c r="E316" s="6" t="s">
        <v>1796</v>
      </c>
      <c r="F316" s="6" t="s">
        <v>1797</v>
      </c>
    </row>
    <row r="317" spans="1:6">
      <c r="A317" s="85">
        <f t="shared" si="9"/>
        <v>1</v>
      </c>
      <c r="B317" s="6" t="str">
        <f t="shared" si="10"/>
        <v>Bleach, lab grade (4-6%, 1L)</v>
      </c>
      <c r="C317" s="6" t="s">
        <v>1798</v>
      </c>
      <c r="D317" s="6" t="s">
        <v>1799</v>
      </c>
      <c r="E317" s="6" t="s">
        <v>1800</v>
      </c>
      <c r="F317" s="6" t="s">
        <v>1801</v>
      </c>
    </row>
    <row r="318" spans="1:6">
      <c r="A318" s="85">
        <f t="shared" si="9"/>
        <v>1</v>
      </c>
      <c r="B318" s="6" t="str">
        <f t="shared" si="10"/>
        <v>Tween 20, 500 mL</v>
      </c>
      <c r="C318" s="6" t="s">
        <v>1802</v>
      </c>
      <c r="D318" s="6" t="s">
        <v>1803</v>
      </c>
      <c r="E318" s="6" t="s">
        <v>1802</v>
      </c>
      <c r="F318" s="6" t="s">
        <v>1802</v>
      </c>
    </row>
    <row r="319" spans="1:6">
      <c r="A319" s="85">
        <f t="shared" si="9"/>
        <v>1</v>
      </c>
      <c r="B319" s="6" t="str">
        <f t="shared" si="10"/>
        <v>Ethanol, 99% lab grade, 1L</v>
      </c>
      <c r="C319" s="6" t="s">
        <v>1804</v>
      </c>
      <c r="D319" s="6" t="s">
        <v>1805</v>
      </c>
      <c r="E319" s="6" t="s">
        <v>1806</v>
      </c>
      <c r="F319" s="6" t="s">
        <v>1807</v>
      </c>
    </row>
    <row r="320" spans="1:6">
      <c r="A320" s="85">
        <f t="shared" si="9"/>
        <v>1</v>
      </c>
      <c r="B320" s="6" t="str">
        <f t="shared" si="10"/>
        <v>(Molecular grade) nuclease free H2O</v>
      </c>
      <c r="C320" s="6" t="s">
        <v>1808</v>
      </c>
      <c r="D320" s="6" t="s">
        <v>1809</v>
      </c>
      <c r="E320" s="6" t="s">
        <v>1810</v>
      </c>
      <c r="F320" s="6" t="s">
        <v>1811</v>
      </c>
    </row>
    <row r="321" spans="1:6">
      <c r="A321" s="85">
        <f t="shared" si="9"/>
        <v>1</v>
      </c>
      <c r="B321" s="6" t="str">
        <f t="shared" si="10"/>
        <v>Clinical microbiologist</v>
      </c>
      <c r="C321" s="6" t="s">
        <v>1812</v>
      </c>
      <c r="D321" s="6" t="s">
        <v>1813</v>
      </c>
      <c r="E321" s="6" t="s">
        <v>1814</v>
      </c>
      <c r="F321" s="6" t="s">
        <v>1815</v>
      </c>
    </row>
    <row r="322" spans="1:6">
      <c r="A322" s="85">
        <f t="shared" si="9"/>
        <v>1</v>
      </c>
      <c r="B322" s="6" t="str">
        <f t="shared" si="10"/>
        <v>Laboratory manager</v>
      </c>
      <c r="C322" s="6" t="s">
        <v>1816</v>
      </c>
      <c r="D322" s="6" t="s">
        <v>1817</v>
      </c>
      <c r="E322" s="6" t="s">
        <v>1818</v>
      </c>
      <c r="F322" s="6" t="s">
        <v>1819</v>
      </c>
    </row>
    <row r="323" spans="1:6">
      <c r="A323" s="85">
        <f t="shared" si="9"/>
        <v>1</v>
      </c>
      <c r="B323" s="6" t="str">
        <f t="shared" si="10"/>
        <v>Bioinformatician</v>
      </c>
      <c r="C323" s="6" t="s">
        <v>1820</v>
      </c>
      <c r="D323" s="6" t="s">
        <v>1821</v>
      </c>
      <c r="E323" s="6" t="s">
        <v>1822</v>
      </c>
      <c r="F323" s="6" t="s">
        <v>1823</v>
      </c>
    </row>
    <row r="324" spans="1:6">
      <c r="A324" s="85">
        <f t="shared" ref="A324:A387" si="11">$B$2</f>
        <v>1</v>
      </c>
      <c r="B324" s="6" t="str">
        <f t="shared" si="10"/>
        <v>Molecular biologist</v>
      </c>
      <c r="C324" s="6" t="s">
        <v>1824</v>
      </c>
      <c r="D324" s="6" t="s">
        <v>1825</v>
      </c>
      <c r="E324" s="6" t="s">
        <v>1826</v>
      </c>
      <c r="F324" s="6" t="s">
        <v>1827</v>
      </c>
    </row>
    <row r="325" spans="1:6">
      <c r="A325" s="85">
        <f t="shared" si="11"/>
        <v>1</v>
      </c>
      <c r="B325" s="6" t="str">
        <f t="shared" ref="B325:B388" si="12">IF($B$2=1,C325,IF($B$2=2,D325,IF($B$2=3,E325,F325)))</f>
        <v>Laboratory technician</v>
      </c>
      <c r="C325" s="6" t="s">
        <v>1828</v>
      </c>
      <c r="D325" s="6" t="s">
        <v>1829</v>
      </c>
      <c r="E325" s="6" t="s">
        <v>1830</v>
      </c>
      <c r="F325" s="6" t="s">
        <v>1831</v>
      </c>
    </row>
    <row r="326" spans="1:6">
      <c r="A326" s="85">
        <f t="shared" si="11"/>
        <v>1</v>
      </c>
      <c r="B326" s="6" t="str">
        <f t="shared" si="12"/>
        <v>Laboratory technician</v>
      </c>
      <c r="C326" s="6" t="s">
        <v>1828</v>
      </c>
      <c r="D326" s="6" t="s">
        <v>1829</v>
      </c>
      <c r="E326" s="6" t="s">
        <v>1832</v>
      </c>
      <c r="F326" s="6" t="s">
        <v>1831</v>
      </c>
    </row>
    <row r="327" spans="1:6">
      <c r="A327" s="85">
        <f t="shared" si="11"/>
        <v>1</v>
      </c>
      <c r="B327" s="6" t="str">
        <f t="shared" si="12"/>
        <v>Receptionist</v>
      </c>
      <c r="C327" s="6" t="s">
        <v>1833</v>
      </c>
      <c r="D327" s="6" t="s">
        <v>1834</v>
      </c>
      <c r="E327" s="6" t="s">
        <v>1835</v>
      </c>
      <c r="F327" s="6" t="s">
        <v>1836</v>
      </c>
    </row>
    <row r="328" spans="1:6">
      <c r="A328" s="85">
        <f t="shared" si="11"/>
        <v>1</v>
      </c>
      <c r="B328" s="6" t="str">
        <f t="shared" si="12"/>
        <v>Cleaning personnel</v>
      </c>
      <c r="C328" s="6" t="s">
        <v>1837</v>
      </c>
      <c r="D328" s="6" t="s">
        <v>1838</v>
      </c>
      <c r="E328" s="6" t="s">
        <v>1839</v>
      </c>
      <c r="F328" s="6" t="s">
        <v>1840</v>
      </c>
    </row>
    <row r="329" spans="1:6" ht="28.8">
      <c r="A329" s="85">
        <f t="shared" si="11"/>
        <v>1</v>
      </c>
      <c r="B329" s="6" t="str">
        <f t="shared" si="12"/>
        <v>Cost per BSC, including travel costs for the engineer</v>
      </c>
      <c r="C329" s="6" t="s">
        <v>1841</v>
      </c>
      <c r="D329" s="6" t="s">
        <v>1842</v>
      </c>
      <c r="E329" s="6" t="s">
        <v>1843</v>
      </c>
      <c r="F329" s="6" t="s">
        <v>1844</v>
      </c>
    </row>
    <row r="330" spans="1:6">
      <c r="A330" s="85">
        <f t="shared" si="11"/>
        <v>1</v>
      </c>
      <c r="B330" s="6" t="str">
        <f t="shared" si="12"/>
        <v>Percentage for sequencing of selected pathogens</v>
      </c>
      <c r="C330" s="6" t="s">
        <v>1845</v>
      </c>
      <c r="D330" s="6" t="s">
        <v>1846</v>
      </c>
      <c r="E330" s="6" t="s">
        <v>1847</v>
      </c>
      <c r="F330" s="6" t="s">
        <v>1848</v>
      </c>
    </row>
    <row r="331" spans="1:6">
      <c r="A331" s="85">
        <f t="shared" si="11"/>
        <v>1</v>
      </c>
      <c r="B331" s="6" t="str">
        <f>IF($B$2=1,C331,IF($B$2=2,D331,IF($B$2=3,E331,F331)))</f>
        <v>High reagents cost wastage – consider more samples per run</v>
      </c>
      <c r="C331" s="239" t="s">
        <v>1849</v>
      </c>
      <c r="D331" s="6" t="s">
        <v>1850</v>
      </c>
      <c r="E331" s="6" t="s">
        <v>1851</v>
      </c>
      <c r="F331" s="6" t="s">
        <v>1852</v>
      </c>
    </row>
    <row r="332" spans="1:6">
      <c r="A332" s="85">
        <f t="shared" si="11"/>
        <v>1</v>
      </c>
      <c r="B332" s="6" t="str">
        <f t="shared" si="12"/>
        <v>Enrichment protocol used (Y/N)</v>
      </c>
      <c r="C332" s="239" t="s">
        <v>1853</v>
      </c>
      <c r="D332" s="6" t="s">
        <v>1854</v>
      </c>
      <c r="E332" s="6" t="s">
        <v>1855</v>
      </c>
      <c r="F332" s="6" t="s">
        <v>1856</v>
      </c>
    </row>
    <row r="333" spans="1:6" ht="43.2">
      <c r="A333" s="85">
        <f t="shared" si="11"/>
        <v>1</v>
      </c>
      <c r="B333" s="6" t="str">
        <f t="shared" si="12"/>
        <v>Exceeds maximum number of samples per run. If you’re sure the value is correct based on instructions for use, proceed. Otherwise, consider higher throughput items or decrease this value.</v>
      </c>
      <c r="C333" s="239" t="s">
        <v>1857</v>
      </c>
      <c r="D333" s="6" t="s">
        <v>1858</v>
      </c>
      <c r="E333" s="6" t="s">
        <v>1859</v>
      </c>
      <c r="F333" s="6" t="s">
        <v>1860</v>
      </c>
    </row>
    <row r="334" spans="1:6">
      <c r="A334" s="85">
        <f t="shared" si="11"/>
        <v>1</v>
      </c>
      <c r="B334" s="6" t="str">
        <f t="shared" si="12"/>
        <v>Average number of samples per run (average loading)</v>
      </c>
      <c r="C334" s="716" t="s">
        <v>1861</v>
      </c>
      <c r="D334" s="6" t="s">
        <v>1862</v>
      </c>
      <c r="E334" s="6" t="s">
        <v>1863</v>
      </c>
      <c r="F334" s="6" t="s">
        <v>1864</v>
      </c>
    </row>
    <row r="335" spans="1:6">
      <c r="A335" s="85">
        <f t="shared" si="11"/>
        <v>1</v>
      </c>
      <c r="B335" s="6" t="str">
        <f t="shared" si="12"/>
        <v>Error, consider a higher throughput platform</v>
      </c>
      <c r="C335" s="239" t="s">
        <v>1865</v>
      </c>
      <c r="D335" s="6" t="s">
        <v>1866</v>
      </c>
      <c r="E335" s="6" t="s">
        <v>1867</v>
      </c>
      <c r="F335" s="6" t="s">
        <v>1868</v>
      </c>
    </row>
    <row r="336" spans="1:6" ht="36" customHeight="1">
      <c r="A336" s="85">
        <f t="shared" si="11"/>
        <v>1</v>
      </c>
      <c r="B336" s="366" t="str">
        <f t="shared" si="12"/>
        <v>Reagents for sequencing and library preparation – Sequencer 2 (with sample retests)</v>
      </c>
      <c r="C336" s="6" t="s">
        <v>1869</v>
      </c>
      <c r="D336" s="6" t="s">
        <v>1870</v>
      </c>
      <c r="E336" s="6" t="s">
        <v>1871</v>
      </c>
      <c r="F336" s="6" t="s">
        <v>1872</v>
      </c>
    </row>
    <row r="337" spans="1:6">
      <c r="A337" s="85">
        <f t="shared" si="11"/>
        <v>1</v>
      </c>
      <c r="B337" s="6" t="str">
        <f t="shared" si="12"/>
        <v>Average number of controls per run</v>
      </c>
      <c r="C337" s="6" t="s">
        <v>1873</v>
      </c>
      <c r="D337" s="6" t="s">
        <v>1874</v>
      </c>
      <c r="E337" s="6" t="s">
        <v>1875</v>
      </c>
      <c r="F337" s="6" t="s">
        <v>1876</v>
      </c>
    </row>
    <row r="338" spans="1:6">
      <c r="A338" s="85">
        <f t="shared" si="11"/>
        <v>1</v>
      </c>
      <c r="B338" s="6" t="str">
        <f t="shared" si="12"/>
        <v>Number of sequencing runs per year (average loading)</v>
      </c>
      <c r="C338" s="6" t="s">
        <v>1877</v>
      </c>
      <c r="D338" s="6" t="s">
        <v>1878</v>
      </c>
      <c r="E338" s="6" t="s">
        <v>1879</v>
      </c>
      <c r="F338" s="6" t="s">
        <v>1880</v>
      </c>
    </row>
    <row r="339" spans="1:6">
      <c r="A339" s="85">
        <f t="shared" si="11"/>
        <v>1</v>
      </c>
      <c r="B339" s="6" t="str">
        <f t="shared" si="12"/>
        <v>% sequencer loading capacity per run (average loading)</v>
      </c>
      <c r="C339" s="6" t="s">
        <v>1881</v>
      </c>
      <c r="D339" s="6" t="s">
        <v>1882</v>
      </c>
      <c r="E339" s="6" t="s">
        <v>1883</v>
      </c>
      <c r="F339" s="6" t="s">
        <v>1884</v>
      </c>
    </row>
    <row r="340" spans="1:6">
      <c r="A340" s="85">
        <f t="shared" si="11"/>
        <v>1</v>
      </c>
      <c r="B340" s="6" t="str">
        <f t="shared" si="12"/>
        <v/>
      </c>
      <c r="C340" s="6" t="str">
        <f>IF('Data entry'!$J$21&lt;&gt;'Data entry'!$J$30,"verify all items have assigned workflow","")</f>
        <v/>
      </c>
      <c r="D340" s="6" t="str">
        <f>IF('Data entry'!$J$21&lt;&gt;'Data entry'!$J$30,"убедитесь, что всем элементам назначен этап рабочего процесса","")</f>
        <v/>
      </c>
      <c r="E340" s="6" t="str">
        <f>IF('Data entry'!$J$21&lt;&gt;'Data entry'!$J$30,"Verificar que todos los ítems tengan un flujo de trabajo asignado","")</f>
        <v/>
      </c>
      <c r="F340" s="6" t="str">
        <f>IF('Data entry'!$J$21&lt;&gt;'Data entry'!$J$30,"Vérifier que tous les éléments ont un flux de travail attribué","")</f>
        <v/>
      </c>
    </row>
    <row r="341" spans="1:6">
      <c r="A341" s="85">
        <f t="shared" si="11"/>
        <v>1</v>
      </c>
      <c r="B341" s="6" t="str">
        <f t="shared" si="12"/>
        <v>Pathogen type</v>
      </c>
      <c r="C341" s="6" t="s">
        <v>54</v>
      </c>
      <c r="D341" s="6" t="s">
        <v>1885</v>
      </c>
      <c r="E341" s="6" t="s">
        <v>1886</v>
      </c>
      <c r="F341" s="6" t="s">
        <v>1887</v>
      </c>
    </row>
    <row r="342" spans="1:6">
      <c r="A342" s="85">
        <f t="shared" si="11"/>
        <v>1</v>
      </c>
      <c r="B342" s="6" t="str">
        <f t="shared" si="12"/>
        <v>Genome size (in Mb)</v>
      </c>
      <c r="C342" s="6" t="s">
        <v>1888</v>
      </c>
      <c r="D342" s="6" t="s">
        <v>1889</v>
      </c>
      <c r="E342" s="6" t="s">
        <v>1890</v>
      </c>
      <c r="F342" s="6" t="s">
        <v>1891</v>
      </c>
    </row>
    <row r="343" spans="1:6">
      <c r="A343" s="85">
        <f t="shared" si="11"/>
        <v>1</v>
      </c>
      <c r="B343" s="6" t="str">
        <f t="shared" si="12"/>
        <v>Sequencing coverage</v>
      </c>
      <c r="C343" s="6" t="s">
        <v>1892</v>
      </c>
      <c r="D343" s="6" t="s">
        <v>1893</v>
      </c>
      <c r="E343" s="6" t="s">
        <v>1894</v>
      </c>
      <c r="F343" s="6" t="s">
        <v>1895</v>
      </c>
    </row>
    <row r="344" spans="1:6">
      <c r="A344" s="85">
        <f t="shared" si="11"/>
        <v>1</v>
      </c>
      <c r="B344" s="6" t="str">
        <f t="shared" si="12"/>
        <v>Total annual equipment maintenance and calibration cost</v>
      </c>
      <c r="C344" s="6" t="s">
        <v>1896</v>
      </c>
      <c r="D344" s="6" t="s">
        <v>1897</v>
      </c>
      <c r="E344" s="6" t="s">
        <v>1898</v>
      </c>
      <c r="F344" s="6" t="s">
        <v>1899</v>
      </c>
    </row>
    <row r="345" spans="1:6">
      <c r="A345" s="85">
        <f t="shared" si="11"/>
        <v>1</v>
      </c>
      <c r="B345" s="6" t="str">
        <f t="shared" si="12"/>
        <v>Annual equipment operational cost</v>
      </c>
      <c r="C345" s="6" t="s">
        <v>1900</v>
      </c>
      <c r="D345" s="6" t="s">
        <v>1901</v>
      </c>
      <c r="E345" s="6" t="s">
        <v>1902</v>
      </c>
      <c r="F345" s="6" t="s">
        <v>1903</v>
      </c>
    </row>
    <row r="346" spans="1:6">
      <c r="A346" s="85">
        <f t="shared" si="11"/>
        <v>1</v>
      </c>
      <c r="B346" s="6" t="str">
        <f t="shared" si="12"/>
        <v>Total annual equipment operational cost</v>
      </c>
      <c r="C346" s="6" t="s">
        <v>1904</v>
      </c>
      <c r="D346" s="6" t="s">
        <v>1905</v>
      </c>
      <c r="E346" s="6" t="s">
        <v>1906</v>
      </c>
      <c r="F346" s="6" t="s">
        <v>1907</v>
      </c>
    </row>
    <row r="347" spans="1:6">
      <c r="A347" s="85">
        <f t="shared" si="11"/>
        <v>1</v>
      </c>
      <c r="B347" s="6" t="str">
        <f t="shared" si="12"/>
        <v>Number of sequencing runs per year (maximum loading capacity)</v>
      </c>
      <c r="C347" s="37" t="s">
        <v>1908</v>
      </c>
      <c r="D347" s="6" t="s">
        <v>1909</v>
      </c>
      <c r="E347" s="6" t="s">
        <v>1910</v>
      </c>
      <c r="F347" s="6" t="s">
        <v>1911</v>
      </c>
    </row>
    <row r="348" spans="1:6">
      <c r="A348" s="85">
        <f t="shared" si="11"/>
        <v>1</v>
      </c>
      <c r="B348" s="6" t="str">
        <f t="shared" si="12"/>
        <v>Consider higher throughput sequencing items</v>
      </c>
      <c r="C348" s="37" t="s">
        <v>1912</v>
      </c>
      <c r="D348" s="6" t="s">
        <v>1913</v>
      </c>
      <c r="E348" s="6" t="s">
        <v>1914</v>
      </c>
      <c r="F348" s="6" t="s">
        <v>1915</v>
      </c>
    </row>
    <row r="349" spans="1:6">
      <c r="A349" s="85">
        <f t="shared" si="11"/>
        <v>1</v>
      </c>
      <c r="B349" s="6" t="str">
        <f t="shared" si="12"/>
        <v>Consider higher throughput sequencing items</v>
      </c>
      <c r="C349" s="37" t="str">
        <f>IF('Data entry'!$C$28&gt;52,"Consider higher throughput sequencing items","")</f>
        <v>Consider higher throughput sequencing items</v>
      </c>
      <c r="D349" s="6" t="str">
        <f>IF('Data entry'!$C$28&gt;52,"Рассмотрите возможность секвенирования с более высокой пропускной способностью","")</f>
        <v>Рассмотрите возможность секвенирования с более высокой пропускной способностью</v>
      </c>
      <c r="E349" s="37" t="str">
        <f>IF('Data entry'!$C$28&gt;52,"Considerar ítems de secuenciación de mayor rendimiento","")</f>
        <v>Considerar ítems de secuenciación de mayor rendimiento</v>
      </c>
      <c r="F349" s="6" t="str">
        <f>IF('Data entry'!$C$28&gt;52,"Envisager des éléments de séquençage à plus haut débit","")</f>
        <v>Envisager des éléments de séquençage à plus haut débit</v>
      </c>
    </row>
    <row r="350" spans="1:6">
      <c r="A350" s="85">
        <f t="shared" si="11"/>
        <v>1</v>
      </c>
      <c r="B350" s="6" t="str">
        <f t="shared" si="12"/>
        <v>Inputs into "Bioinformatics" tab needed to display cost</v>
      </c>
      <c r="C350" s="6" t="s">
        <v>1916</v>
      </c>
      <c r="D350" s="6" t="s">
        <v>1917</v>
      </c>
      <c r="E350" s="6" t="s">
        <v>1918</v>
      </c>
      <c r="F350" s="6" t="s">
        <v>1919</v>
      </c>
    </row>
    <row r="351" spans="1:6" ht="28.8">
      <c r="A351" s="85">
        <f t="shared" si="11"/>
        <v>1</v>
      </c>
      <c r="B351" s="6" t="str">
        <f t="shared" si="12"/>
        <v>Inputs into "Personnel and training" tab needed to display cost</v>
      </c>
      <c r="C351" s="6" t="s">
        <v>1920</v>
      </c>
      <c r="D351" s="6" t="s">
        <v>1921</v>
      </c>
      <c r="E351" s="6" t="s">
        <v>1922</v>
      </c>
      <c r="F351" s="6" t="s">
        <v>1923</v>
      </c>
    </row>
    <row r="352" spans="1:6" ht="28.8">
      <c r="A352" s="85">
        <f t="shared" si="11"/>
        <v>1</v>
      </c>
      <c r="B352" s="6" t="str">
        <f t="shared" si="12"/>
        <v>Inputs into "Facility and transport" tab needed to display cost</v>
      </c>
      <c r="C352" s="6" t="s">
        <v>1924</v>
      </c>
      <c r="D352" s="6" t="s">
        <v>1925</v>
      </c>
      <c r="E352" s="6" t="s">
        <v>1926</v>
      </c>
      <c r="F352" s="6" t="s">
        <v>1927</v>
      </c>
    </row>
    <row r="353" spans="1:6" ht="28.8">
      <c r="A353" s="85">
        <f t="shared" si="11"/>
        <v>1</v>
      </c>
      <c r="B353" s="6" t="str">
        <f t="shared" si="12"/>
        <v>Dead volume for library preparation handler in % (if used)</v>
      </c>
      <c r="C353" s="6" t="s">
        <v>1928</v>
      </c>
      <c r="D353" s="6" t="s">
        <v>1929</v>
      </c>
      <c r="E353" s="6" t="s">
        <v>1930</v>
      </c>
      <c r="F353" s="6" t="s">
        <v>1931</v>
      </c>
    </row>
    <row r="354" spans="1:6" ht="28.8">
      <c r="A354" s="85">
        <f t="shared" si="11"/>
        <v>1</v>
      </c>
      <c r="B354" s="6" t="str">
        <f t="shared" si="12"/>
        <v>Maximum number of barcodes available for your library preparation kit (e.g. 16, 24, 96, 384, 768)</v>
      </c>
      <c r="C354" s="6" t="s">
        <v>1932</v>
      </c>
      <c r="D354" s="6" t="s">
        <v>1933</v>
      </c>
      <c r="E354" s="6" t="s">
        <v>1934</v>
      </c>
      <c r="F354" s="6" t="s">
        <v>1935</v>
      </c>
    </row>
    <row r="355" spans="1:6" ht="28.8">
      <c r="A355" s="85">
        <f t="shared" si="11"/>
        <v>1</v>
      </c>
      <c r="B355" s="6" t="str">
        <f t="shared" si="12"/>
        <v>Maximum output of the flow cell in bytes (e.g. 1.2 GB is 1200000000 b (1.2*10^9))</v>
      </c>
      <c r="C355" s="6" t="s">
        <v>1936</v>
      </c>
      <c r="D355" s="6" t="s">
        <v>1937</v>
      </c>
      <c r="E355" s="6" t="s">
        <v>1938</v>
      </c>
      <c r="F355" s="6" t="s">
        <v>1939</v>
      </c>
    </row>
    <row r="356" spans="1:6">
      <c r="A356" s="85">
        <f t="shared" si="11"/>
        <v>1</v>
      </c>
      <c r="B356" s="6" t="str">
        <f t="shared" si="12"/>
        <v>Read length for your sequencing reagent kit (in bp)</v>
      </c>
      <c r="C356" s="6" t="s">
        <v>1940</v>
      </c>
      <c r="D356" s="6" t="s">
        <v>1941</v>
      </c>
      <c r="E356" s="6" t="s">
        <v>1942</v>
      </c>
      <c r="F356" s="6" t="s">
        <v>1943</v>
      </c>
    </row>
    <row r="357" spans="1:6">
      <c r="A357" s="85">
        <f t="shared" si="11"/>
        <v>1</v>
      </c>
      <c r="B357" s="6" t="str">
        <f t="shared" si="12"/>
        <v>Number of sequencing kit packs needed per one run</v>
      </c>
      <c r="C357" s="6" t="s">
        <v>1944</v>
      </c>
      <c r="D357" s="6" t="s">
        <v>1945</v>
      </c>
      <c r="E357" s="6" t="s">
        <v>1946</v>
      </c>
      <c r="F357" s="6" t="s">
        <v>1947</v>
      </c>
    </row>
    <row r="358" spans="1:6">
      <c r="A358" s="85">
        <f t="shared" si="11"/>
        <v>1</v>
      </c>
      <c r="B358" s="6" t="str">
        <f t="shared" si="12"/>
        <v>Number of barcodes per pack</v>
      </c>
      <c r="C358" s="6" t="s">
        <v>1948</v>
      </c>
      <c r="D358" s="6" t="s">
        <v>1949</v>
      </c>
      <c r="E358" s="6" t="s">
        <v>1950</v>
      </c>
      <c r="F358" s="6" t="s">
        <v>1951</v>
      </c>
    </row>
    <row r="359" spans="1:6">
      <c r="A359" s="85">
        <f t="shared" si="11"/>
        <v>1</v>
      </c>
      <c r="B359" s="6" t="str">
        <f t="shared" si="12"/>
        <v>Enter required reagent specifications in rows 38–40 below</v>
      </c>
      <c r="C359" s="6" t="s">
        <v>1952</v>
      </c>
      <c r="D359" s="6" t="s">
        <v>1953</v>
      </c>
      <c r="E359" s="6" t="s">
        <v>1954</v>
      </c>
      <c r="F359" s="6" t="s">
        <v>1955</v>
      </c>
    </row>
    <row r="360" spans="1:6">
      <c r="A360" s="85">
        <f t="shared" si="11"/>
        <v>1</v>
      </c>
      <c r="B360" s="6" t="str">
        <f t="shared" si="12"/>
        <v>Enter required reagent specifications in rows 36–37 below</v>
      </c>
      <c r="C360" s="6" t="s">
        <v>1956</v>
      </c>
      <c r="D360" s="6" t="s">
        <v>1957</v>
      </c>
      <c r="E360" s="6" t="s">
        <v>1958</v>
      </c>
      <c r="F360" s="6" t="s">
        <v>1959</v>
      </c>
    </row>
    <row r="361" spans="1:6">
      <c r="A361" s="85">
        <f t="shared" si="11"/>
        <v>1</v>
      </c>
      <c r="B361" s="6" t="str">
        <f t="shared" si="12"/>
        <v>Enter required reagent specifications in row 39 below</v>
      </c>
      <c r="C361" s="6" t="s">
        <v>1960</v>
      </c>
      <c r="D361" s="6" t="s">
        <v>1961</v>
      </c>
      <c r="E361" s="6" t="s">
        <v>1962</v>
      </c>
      <c r="F361" s="6" t="s">
        <v>1963</v>
      </c>
    </row>
    <row r="362" spans="1:6">
      <c r="A362" s="85">
        <f t="shared" si="11"/>
        <v>1</v>
      </c>
      <c r="B362" s="6" t="str">
        <f t="shared" si="12"/>
        <v>Sequencer 1</v>
      </c>
      <c r="C362" s="6" t="s">
        <v>82</v>
      </c>
      <c r="D362" s="6" t="s">
        <v>1964</v>
      </c>
      <c r="E362" s="6" t="s">
        <v>1965</v>
      </c>
      <c r="F362" s="6" t="s">
        <v>1966</v>
      </c>
    </row>
    <row r="363" spans="1:6">
      <c r="A363" s="85">
        <f t="shared" si="11"/>
        <v>1</v>
      </c>
      <c r="B363" s="6" t="str">
        <f t="shared" si="12"/>
        <v>Sequencer 2</v>
      </c>
      <c r="C363" s="6" t="s">
        <v>1967</v>
      </c>
      <c r="D363" s="6" t="s">
        <v>1968</v>
      </c>
      <c r="E363" s="6" t="s">
        <v>1969</v>
      </c>
      <c r="F363" s="6" t="s">
        <v>1970</v>
      </c>
    </row>
    <row r="364" spans="1:6">
      <c r="A364" s="85">
        <f t="shared" si="11"/>
        <v>1</v>
      </c>
      <c r="B364" s="6" t="str">
        <f t="shared" si="12"/>
        <v>Total number of reactions across two sequencers (including retests)</v>
      </c>
      <c r="C364" s="6" t="s">
        <v>1971</v>
      </c>
      <c r="D364" s="6" t="s">
        <v>1972</v>
      </c>
      <c r="E364" s="6" t="s">
        <v>1973</v>
      </c>
      <c r="F364" s="6" t="s">
        <v>1974</v>
      </c>
    </row>
    <row r="365" spans="1:6">
      <c r="A365" s="85">
        <f t="shared" si="11"/>
        <v>1</v>
      </c>
      <c r="B365" s="6" t="str">
        <f t="shared" si="12"/>
        <v>Inputs applied to both sequencing devices</v>
      </c>
      <c r="C365" s="6" t="s">
        <v>1975</v>
      </c>
      <c r="D365" s="6" t="s">
        <v>1976</v>
      </c>
      <c r="E365" s="6" t="s">
        <v>1977</v>
      </c>
      <c r="F365" s="6" t="s">
        <v>1978</v>
      </c>
    </row>
    <row r="366" spans="1:6" ht="28.8">
      <c r="A366" s="85">
        <f t="shared" si="11"/>
        <v>1</v>
      </c>
      <c r="B366" s="6" t="str">
        <f t="shared" si="12"/>
        <v>Additional required specifications for selected sequencing and library preparation items</v>
      </c>
      <c r="C366" s="6" t="s">
        <v>1979</v>
      </c>
      <c r="D366" s="6" t="s">
        <v>1980</v>
      </c>
      <c r="E366" s="6" t="s">
        <v>1981</v>
      </c>
      <c r="F366" s="6" t="s">
        <v>1982</v>
      </c>
    </row>
    <row r="367" spans="1:6">
      <c r="A367" s="85">
        <f t="shared" si="11"/>
        <v>1</v>
      </c>
      <c r="B367" s="6" t="str">
        <f t="shared" si="12"/>
        <v>Distributed cost – per workflow</v>
      </c>
      <c r="C367" s="6" t="s">
        <v>1983</v>
      </c>
      <c r="D367" s="6" t="s">
        <v>1984</v>
      </c>
      <c r="E367" s="6" t="s">
        <v>1985</v>
      </c>
      <c r="F367" s="6" t="s">
        <v>1986</v>
      </c>
    </row>
    <row r="368" spans="1:6">
      <c r="A368" s="85">
        <f t="shared" si="11"/>
        <v>1</v>
      </c>
      <c r="B368" s="6" t="str">
        <f t="shared" si="12"/>
        <v>Both sequencers</v>
      </c>
      <c r="C368" s="6" t="s">
        <v>1987</v>
      </c>
      <c r="D368" s="6" t="s">
        <v>1988</v>
      </c>
      <c r="E368" s="6" t="s">
        <v>1989</v>
      </c>
      <c r="F368" s="6" t="s">
        <v>1990</v>
      </c>
    </row>
    <row r="369" spans="1:6">
      <c r="A369" s="85">
        <f t="shared" si="11"/>
        <v>1</v>
      </c>
      <c r="B369" s="6" t="str">
        <f t="shared" si="12"/>
        <v>Amazon Web Services (AWS)</v>
      </c>
      <c r="C369" s="6" t="s">
        <v>1991</v>
      </c>
      <c r="D369" s="6" t="s">
        <v>1992</v>
      </c>
      <c r="E369" s="6" t="s">
        <v>1993</v>
      </c>
      <c r="F369" s="6" t="s">
        <v>1991</v>
      </c>
    </row>
    <row r="370" spans="1:6">
      <c r="A370" s="85">
        <f t="shared" si="11"/>
        <v>1</v>
      </c>
      <c r="B370" s="6" t="str">
        <f t="shared" si="12"/>
        <v>Seqera</v>
      </c>
      <c r="C370" s="6" t="s">
        <v>1994</v>
      </c>
      <c r="D370" s="6" t="s">
        <v>1995</v>
      </c>
      <c r="E370" s="6" t="s">
        <v>1994</v>
      </c>
      <c r="F370" s="6" t="s">
        <v>1994</v>
      </c>
    </row>
    <row r="371" spans="1:6">
      <c r="A371" s="85">
        <f t="shared" si="11"/>
        <v>1</v>
      </c>
      <c r="B371" s="6" t="str">
        <f t="shared" si="12"/>
        <v>Reference material: ATCC, Zeptometrix, Biohub, NCPV, NCTC, etc.</v>
      </c>
      <c r="C371" s="6" t="s">
        <v>1996</v>
      </c>
      <c r="D371" s="6" t="s">
        <v>1997</v>
      </c>
      <c r="E371" s="6" t="s">
        <v>1998</v>
      </c>
      <c r="F371" s="6" t="s">
        <v>1999</v>
      </c>
    </row>
    <row r="372" spans="1:6">
      <c r="A372" s="85">
        <f t="shared" si="11"/>
        <v>1</v>
      </c>
      <c r="B372" s="6" t="str">
        <f t="shared" si="12"/>
        <v>Internal quality control material</v>
      </c>
      <c r="C372" s="6" t="s">
        <v>2000</v>
      </c>
      <c r="D372" s="6" t="s">
        <v>2001</v>
      </c>
      <c r="E372" s="6" t="s">
        <v>2002</v>
      </c>
      <c r="F372" s="6" t="s">
        <v>2003</v>
      </c>
    </row>
    <row r="373" spans="1:6">
      <c r="A373" s="85">
        <f t="shared" si="11"/>
        <v>1</v>
      </c>
      <c r="B373" s="6" t="str">
        <f t="shared" si="12"/>
        <v>Bioinformatics pipeline validation service (e.g. PHA4GE)</v>
      </c>
      <c r="C373" s="6" t="s">
        <v>2004</v>
      </c>
      <c r="D373" s="6" t="s">
        <v>2005</v>
      </c>
      <c r="E373" s="6" t="s">
        <v>2006</v>
      </c>
      <c r="F373" s="6" t="s">
        <v>2007</v>
      </c>
    </row>
    <row r="374" spans="1:6" ht="28.8">
      <c r="A374" s="85">
        <f t="shared" si="11"/>
        <v>1</v>
      </c>
      <c r="B374" s="6" t="str">
        <f t="shared" si="12"/>
        <v>Cost of sequencing for the selected pathogen(-s) and annual throughput per sample by cost category</v>
      </c>
      <c r="C374" s="6" t="s">
        <v>2008</v>
      </c>
      <c r="D374" s="6" t="s">
        <v>2009</v>
      </c>
      <c r="E374" s="6" t="s">
        <v>2010</v>
      </c>
      <c r="F374" s="6" t="s">
        <v>2011</v>
      </c>
    </row>
    <row r="375" spans="1:6" ht="28.8">
      <c r="A375" s="85">
        <f t="shared" si="11"/>
        <v>1</v>
      </c>
      <c r="B375" s="6" t="str">
        <f t="shared" si="12"/>
        <v>Total annual cost for sequencing of the selected pathogen(-s) and throughput by cost category</v>
      </c>
      <c r="C375" s="6" t="s">
        <v>2012</v>
      </c>
      <c r="D375" s="6" t="s">
        <v>2013</v>
      </c>
      <c r="E375" s="6" t="s">
        <v>2014</v>
      </c>
      <c r="F375" s="6" t="s">
        <v>2015</v>
      </c>
    </row>
    <row r="376" spans="1:6" ht="28.8">
      <c r="A376" s="85">
        <f t="shared" si="11"/>
        <v>1</v>
      </c>
      <c r="B376" s="6" t="str">
        <f t="shared" si="12"/>
        <v>Cost of sequencing for the selected pathogen(-s) and annual throughput per sample by workflow step</v>
      </c>
      <c r="C376" s="6" t="s">
        <v>2016</v>
      </c>
      <c r="D376" s="6" t="s">
        <v>2017</v>
      </c>
      <c r="E376" s="6" t="s">
        <v>2018</v>
      </c>
      <c r="F376" s="6" t="s">
        <v>2019</v>
      </c>
    </row>
    <row r="377" spans="1:6" ht="28.8">
      <c r="A377" s="85">
        <f t="shared" si="11"/>
        <v>1</v>
      </c>
      <c r="B377" s="6" t="str">
        <f t="shared" si="12"/>
        <v>Total annual cost for sequencing of the selected pathogen(-s) and throughput by workflow step</v>
      </c>
      <c r="C377" s="6" t="s">
        <v>2020</v>
      </c>
      <c r="D377" s="6" t="s">
        <v>2021</v>
      </c>
      <c r="E377" s="6" t="s">
        <v>2022</v>
      </c>
      <c r="F377" s="6" t="s">
        <v>2023</v>
      </c>
    </row>
    <row r="378" spans="1:6">
      <c r="A378" s="85">
        <f t="shared" si="11"/>
        <v>1</v>
      </c>
      <c r="B378" s="6" t="str">
        <f t="shared" si="12"/>
        <v>Enter the genome size in megabases</v>
      </c>
      <c r="C378" s="6" t="s">
        <v>2024</v>
      </c>
      <c r="D378" s="6" t="s">
        <v>2025</v>
      </c>
      <c r="E378" s="6" t="s">
        <v>2026</v>
      </c>
      <c r="F378" s="6" t="s">
        <v>2027</v>
      </c>
    </row>
    <row r="379" spans="1:6">
      <c r="A379" s="85">
        <f t="shared" si="11"/>
        <v>1</v>
      </c>
      <c r="B379" s="6" t="str">
        <f t="shared" si="12"/>
        <v>Enter the sequencing coverage</v>
      </c>
      <c r="C379" s="6" t="s">
        <v>2028</v>
      </c>
      <c r="D379" s="6" t="s">
        <v>2029</v>
      </c>
      <c r="E379" s="6" t="s">
        <v>2030</v>
      </c>
      <c r="F379" s="6" t="s">
        <v>2031</v>
      </c>
    </row>
    <row r="380" spans="1:6" ht="28.8">
      <c r="A380" s="85">
        <f t="shared" si="11"/>
        <v>1</v>
      </c>
      <c r="B380" s="6" t="str">
        <f t="shared" si="12"/>
        <v>The maximum number of samples per flow cell might be different. Please check the instruction for use for the selected kit</v>
      </c>
      <c r="C380" s="6" t="s">
        <v>2032</v>
      </c>
      <c r="D380" s="6" t="s">
        <v>2033</v>
      </c>
      <c r="E380" s="6" t="s">
        <v>2034</v>
      </c>
      <c r="F380" s="6" t="s">
        <v>2035</v>
      </c>
    </row>
    <row r="381" spans="1:6" ht="28.8">
      <c r="A381" s="85">
        <f t="shared" si="11"/>
        <v>1</v>
      </c>
      <c r="B381" s="6" t="str">
        <f t="shared" si="12"/>
        <v>Enter number of reads per sample in row 41 below. No need to enter genome size</v>
      </c>
      <c r="C381" s="6" t="s">
        <v>2036</v>
      </c>
      <c r="D381" s="6" t="s">
        <v>2037</v>
      </c>
      <c r="E381" s="6" t="s">
        <v>2038</v>
      </c>
      <c r="F381" s="6" t="s">
        <v>2039</v>
      </c>
    </row>
    <row r="382" spans="1:6">
      <c r="A382" s="85">
        <f t="shared" si="11"/>
        <v>1</v>
      </c>
      <c r="B382" s="6" t="str">
        <f t="shared" si="12"/>
        <v>Equipment operational cost</v>
      </c>
      <c r="C382" s="6" t="s">
        <v>2040</v>
      </c>
      <c r="D382" s="6" t="s">
        <v>2041</v>
      </c>
      <c r="E382" s="6" t="s">
        <v>2042</v>
      </c>
      <c r="F382" s="6" t="s">
        <v>2043</v>
      </c>
    </row>
    <row r="383" spans="1:6">
      <c r="A383" s="85">
        <f t="shared" si="11"/>
        <v>1</v>
      </c>
      <c r="B383" s="6" t="str">
        <f t="shared" si="12"/>
        <v>Enrichment</v>
      </c>
      <c r="C383" s="6" t="s">
        <v>2044</v>
      </c>
      <c r="D383" s="6" t="s">
        <v>2045</v>
      </c>
      <c r="E383" s="6" t="s">
        <v>2046</v>
      </c>
      <c r="F383" s="6" t="s">
        <v>2047</v>
      </c>
    </row>
    <row r="384" spans="1:6">
      <c r="A384" s="85">
        <f t="shared" si="11"/>
        <v>1</v>
      </c>
      <c r="B384" s="6" t="str">
        <f t="shared" si="12"/>
        <v>Enter the name of enrichment kit for platform 1 here</v>
      </c>
      <c r="C384" s="6" t="s">
        <v>2048</v>
      </c>
      <c r="D384" s="6" t="s">
        <v>2049</v>
      </c>
      <c r="E384" s="6" t="s">
        <v>2050</v>
      </c>
      <c r="F384" s="6" t="s">
        <v>2051</v>
      </c>
    </row>
    <row r="385" spans="1:6">
      <c r="A385" s="85">
        <f t="shared" si="11"/>
        <v>1</v>
      </c>
      <c r="B385" s="6" t="str">
        <f t="shared" si="12"/>
        <v>Enter the name of enrichment kit for platform 2 here</v>
      </c>
      <c r="C385" s="6" t="s">
        <v>2052</v>
      </c>
      <c r="D385" s="6" t="s">
        <v>2053</v>
      </c>
      <c r="E385" s="6" t="s">
        <v>2054</v>
      </c>
      <c r="F385" s="6" t="s">
        <v>2055</v>
      </c>
    </row>
    <row r="386" spans="1:6">
      <c r="A386" s="85">
        <f t="shared" si="11"/>
        <v>1</v>
      </c>
      <c r="B386" s="6" t="str">
        <f t="shared" si="12"/>
        <v>Enter the name of the sequencing reagent for platform 1 here</v>
      </c>
      <c r="C386" s="6" t="s">
        <v>2056</v>
      </c>
      <c r="D386" s="6" t="s">
        <v>2057</v>
      </c>
      <c r="E386" s="6" t="s">
        <v>2058</v>
      </c>
      <c r="F386" s="6" t="s">
        <v>2059</v>
      </c>
    </row>
    <row r="387" spans="1:6">
      <c r="A387" s="85">
        <f t="shared" si="11"/>
        <v>1</v>
      </c>
      <c r="B387" s="6" t="str">
        <f t="shared" si="12"/>
        <v>Enter the name of the sequencing reagent for platform 2 here</v>
      </c>
      <c r="C387" s="6" t="s">
        <v>2060</v>
      </c>
      <c r="D387" s="6" t="s">
        <v>2061</v>
      </c>
      <c r="E387" s="6" t="s">
        <v>2062</v>
      </c>
      <c r="F387" s="6" t="s">
        <v>2063</v>
      </c>
    </row>
    <row r="388" spans="1:6">
      <c r="A388" s="85">
        <f t="shared" ref="A388:A451" si="13">$B$2</f>
        <v>1</v>
      </c>
      <c r="B388" s="6" t="str">
        <f t="shared" si="12"/>
        <v>Enter the name of the library preparation kit for platform 1 here</v>
      </c>
      <c r="C388" s="6" t="s">
        <v>2064</v>
      </c>
      <c r="D388" s="6" t="s">
        <v>2065</v>
      </c>
      <c r="E388" s="6" t="s">
        <v>2066</v>
      </c>
      <c r="F388" s="6" t="s">
        <v>2067</v>
      </c>
    </row>
    <row r="389" spans="1:6">
      <c r="A389" s="85">
        <f t="shared" si="13"/>
        <v>1</v>
      </c>
      <c r="B389" s="6" t="str">
        <f t="shared" ref="B389:B452" si="14">IF($B$2=1,C389,IF($B$2=2,D389,IF($B$2=3,E389,F389)))</f>
        <v>Enter the name of the library preparation kit for platform 2 here</v>
      </c>
      <c r="C389" s="6" t="s">
        <v>2068</v>
      </c>
      <c r="D389" s="6" t="s">
        <v>2069</v>
      </c>
      <c r="E389" s="6" t="s">
        <v>2070</v>
      </c>
      <c r="F389" s="6" t="s">
        <v>2071</v>
      </c>
    </row>
    <row r="390" spans="1:6" ht="28.8">
      <c r="A390" s="85">
        <f t="shared" si="13"/>
        <v>1</v>
      </c>
      <c r="B390" s="6" t="str">
        <f t="shared" si="14"/>
        <v>Choose library preparation kit in the Data entry and results sheet</v>
      </c>
      <c r="C390" s="6" t="s">
        <v>2072</v>
      </c>
      <c r="D390" s="6" t="s">
        <v>2073</v>
      </c>
      <c r="E390" s="6" t="s">
        <v>2074</v>
      </c>
      <c r="F390" s="714" t="s">
        <v>2075</v>
      </c>
    </row>
    <row r="391" spans="1:6">
      <c r="A391" s="85">
        <f t="shared" si="13"/>
        <v>1</v>
      </c>
      <c r="B391" s="6" t="str">
        <f t="shared" si="14"/>
        <v>Enter the name of the sequencing instrument 1 here</v>
      </c>
      <c r="C391" s="6" t="s">
        <v>2076</v>
      </c>
      <c r="D391" s="6" t="s">
        <v>2077</v>
      </c>
      <c r="E391" s="6" t="s">
        <v>2078</v>
      </c>
      <c r="F391" s="6" t="s">
        <v>2079</v>
      </c>
    </row>
    <row r="392" spans="1:6">
      <c r="A392" s="85">
        <f t="shared" si="13"/>
        <v>1</v>
      </c>
      <c r="B392" s="6" t="str">
        <f t="shared" si="14"/>
        <v>Enter the name of the sequencing instrument 2 here</v>
      </c>
      <c r="C392" s="6" t="s">
        <v>2080</v>
      </c>
      <c r="D392" s="6" t="s">
        <v>2081</v>
      </c>
      <c r="E392" s="6" t="s">
        <v>2082</v>
      </c>
      <c r="F392" s="6" t="s">
        <v>2083</v>
      </c>
    </row>
    <row r="393" spans="1:6" ht="28.8">
      <c r="A393" s="85">
        <f t="shared" si="13"/>
        <v>1</v>
      </c>
      <c r="B393" s="6" t="str">
        <f t="shared" si="14"/>
        <v>Enter number of single reads per sample as recommended by the manufacturer (e.g. if 1M reads, enter 1000000)</v>
      </c>
      <c r="C393" s="6" t="s">
        <v>2084</v>
      </c>
      <c r="D393" s="6" t="s">
        <v>2085</v>
      </c>
      <c r="E393" s="6" t="s">
        <v>2086</v>
      </c>
      <c r="F393" s="6" t="s">
        <v>2087</v>
      </c>
    </row>
    <row r="394" spans="1:6">
      <c r="A394" s="85">
        <f t="shared" si="13"/>
        <v>1</v>
      </c>
      <c r="B394" s="6" t="str">
        <f t="shared" si="14"/>
        <v>Laboratory information management system (LIMS)</v>
      </c>
      <c r="C394" s="6" t="s">
        <v>2088</v>
      </c>
      <c r="D394" s="6" t="s">
        <v>2089</v>
      </c>
      <c r="E394" s="6" t="s">
        <v>2090</v>
      </c>
      <c r="F394" s="6" t="s">
        <v>2091</v>
      </c>
    </row>
    <row r="395" spans="1:6">
      <c r="A395" s="85">
        <f t="shared" si="13"/>
        <v>1</v>
      </c>
      <c r="B395" s="6" t="str">
        <f t="shared" si="14"/>
        <v>Results (in USD)</v>
      </c>
      <c r="C395" s="6" t="s">
        <v>2092</v>
      </c>
      <c r="D395" s="6" t="s">
        <v>2093</v>
      </c>
      <c r="E395" s="6" t="s">
        <v>2094</v>
      </c>
      <c r="F395" s="6" t="s">
        <v>2095</v>
      </c>
    </row>
    <row r="396" spans="1:6">
      <c r="A396" s="85">
        <f t="shared" si="13"/>
        <v>1</v>
      </c>
      <c r="B396" s="6" t="str">
        <f t="shared" si="14"/>
        <v>Price set to 0 – item included as bundle in kit above</v>
      </c>
      <c r="C396" s="6" t="s">
        <v>2096</v>
      </c>
      <c r="D396" s="6" t="s">
        <v>2097</v>
      </c>
      <c r="E396" s="6" t="s">
        <v>2098</v>
      </c>
      <c r="F396" s="6" t="s">
        <v>2099</v>
      </c>
    </row>
    <row r="397" spans="1:6">
      <c r="A397" s="85">
        <f t="shared" si="13"/>
        <v>1</v>
      </c>
      <c r="B397" s="6" t="str">
        <f t="shared" si="14"/>
        <v>No need to enter sequencing coverage</v>
      </c>
      <c r="C397" s="6" t="s">
        <v>2100</v>
      </c>
      <c r="D397" s="6" t="s">
        <v>2101</v>
      </c>
      <c r="E397" s="6" t="s">
        <v>2102</v>
      </c>
      <c r="F397" s="6" t="s">
        <v>2103</v>
      </c>
    </row>
    <row r="398" spans="1:6" ht="28.8">
      <c r="A398" s="85">
        <f t="shared" si="13"/>
        <v>1</v>
      </c>
      <c r="B398" s="6" t="str">
        <f t="shared" si="14"/>
        <v>Buffer capacity accounting for off-target reads (unusable reads) (in %)</v>
      </c>
      <c r="C398" s="6" t="s">
        <v>2104</v>
      </c>
      <c r="D398" s="6" t="s">
        <v>2105</v>
      </c>
      <c r="E398" s="6" t="s">
        <v>2106</v>
      </c>
      <c r="F398" s="6" t="s">
        <v>2107</v>
      </c>
    </row>
    <row r="399" spans="1:6">
      <c r="A399" s="85">
        <f t="shared" si="13"/>
        <v>1</v>
      </c>
      <c r="B399" s="6" t="str">
        <f t="shared" si="14"/>
        <v>Other reagents cost with sample retests:</v>
      </c>
      <c r="C399" s="6" t="s">
        <v>2108</v>
      </c>
      <c r="D399" s="6" t="s">
        <v>2109</v>
      </c>
      <c r="E399" s="6" t="s">
        <v>2110</v>
      </c>
      <c r="F399" s="6" t="s">
        <v>2111</v>
      </c>
    </row>
    <row r="400" spans="1:6">
      <c r="A400" s="85">
        <f t="shared" si="13"/>
        <v>1</v>
      </c>
      <c r="B400" s="6" t="str">
        <f t="shared" si="14"/>
        <v>Total number of samples sequenced across both sequencers</v>
      </c>
      <c r="C400" s="6" t="s">
        <v>2112</v>
      </c>
      <c r="D400" s="6" t="s">
        <v>2113</v>
      </c>
      <c r="E400" s="6" t="s">
        <v>2114</v>
      </c>
      <c r="F400" s="6" t="s">
        <v>2115</v>
      </c>
    </row>
    <row r="401" spans="1:6">
      <c r="A401" s="85">
        <f t="shared" si="13"/>
        <v>1</v>
      </c>
      <c r="B401" s="6">
        <f t="shared" si="14"/>
        <v>0</v>
      </c>
      <c r="C401" s="23"/>
      <c r="F401" s="6"/>
    </row>
    <row r="402" spans="1:6">
      <c r="A402" s="85">
        <f t="shared" si="13"/>
        <v>1</v>
      </c>
      <c r="B402" s="6">
        <f t="shared" si="14"/>
        <v>0</v>
      </c>
      <c r="C402" s="23"/>
      <c r="F402" s="6"/>
    </row>
    <row r="403" spans="1:6">
      <c r="A403" s="85">
        <f t="shared" si="13"/>
        <v>1</v>
      </c>
      <c r="B403" s="6">
        <f t="shared" si="14"/>
        <v>0</v>
      </c>
      <c r="C403" s="23"/>
      <c r="F403" s="6"/>
    </row>
    <row r="404" spans="1:6">
      <c r="A404" s="85">
        <f t="shared" si="13"/>
        <v>1</v>
      </c>
      <c r="B404" s="6">
        <f>IF($B$2=1,C404,IF($B$2=2,D404,IF($B$2=3,E404,F404)))</f>
        <v>0</v>
      </c>
      <c r="C404" s="23"/>
      <c r="F404" s="6"/>
    </row>
    <row r="405" spans="1:6">
      <c r="A405" s="85">
        <f t="shared" si="13"/>
        <v>1</v>
      </c>
      <c r="B405" s="6">
        <f t="shared" si="14"/>
        <v>0</v>
      </c>
      <c r="C405" s="23"/>
      <c r="F405" s="6"/>
    </row>
    <row r="406" spans="1:6">
      <c r="A406" s="85">
        <f t="shared" si="13"/>
        <v>1</v>
      </c>
      <c r="B406" s="6">
        <f t="shared" si="14"/>
        <v>0</v>
      </c>
      <c r="C406" s="23"/>
      <c r="F406" s="6"/>
    </row>
    <row r="407" spans="1:6">
      <c r="A407" s="85">
        <f t="shared" si="13"/>
        <v>1</v>
      </c>
      <c r="B407" s="6">
        <f t="shared" si="14"/>
        <v>0</v>
      </c>
      <c r="C407" s="23"/>
      <c r="F407" s="6"/>
    </row>
    <row r="408" spans="1:6">
      <c r="A408" s="85">
        <f t="shared" si="13"/>
        <v>1</v>
      </c>
      <c r="B408" s="6">
        <f t="shared" si="14"/>
        <v>0</v>
      </c>
      <c r="C408" s="23"/>
      <c r="F408" s="6"/>
    </row>
    <row r="409" spans="1:6">
      <c r="A409" s="85">
        <f t="shared" si="13"/>
        <v>1</v>
      </c>
      <c r="B409" s="6" t="str">
        <f t="shared" si="14"/>
        <v>A cell that had contained a formula, which was deleted by the user</v>
      </c>
      <c r="C409" s="6" t="s">
        <v>2116</v>
      </c>
      <c r="D409" s="6" t="s">
        <v>2117</v>
      </c>
      <c r="E409" s="6" t="s">
        <v>2118</v>
      </c>
      <c r="F409" s="6" t="s">
        <v>2119</v>
      </c>
    </row>
    <row r="410" spans="1:6" ht="43.2">
      <c r="A410" s="85">
        <f t="shared" si="13"/>
        <v>1</v>
      </c>
      <c r="B410" s="6" t="str">
        <f t="shared" si="14"/>
        <v>Results (in local currency) - provided that the conversion rate from USD to local currency has been entered in cell O2 in the "Reagents and consumables" tab</v>
      </c>
      <c r="C410" s="6" t="s">
        <v>2120</v>
      </c>
      <c r="D410" s="6" t="s">
        <v>2121</v>
      </c>
      <c r="E410" s="6" t="s">
        <v>2122</v>
      </c>
      <c r="F410" s="6" t="s">
        <v>2123</v>
      </c>
    </row>
    <row r="411" spans="1:6" ht="28.8">
      <c r="A411" s="85">
        <f t="shared" si="13"/>
        <v>1</v>
      </c>
      <c r="B411" s="6" t="str">
        <f t="shared" si="14"/>
        <v>Make sure to enter conversion rate from USD to local currency in cell O2 in the "Reagents and consumables" tab</v>
      </c>
      <c r="C411" s="6" t="s">
        <v>2124</v>
      </c>
      <c r="D411" s="6" t="s">
        <v>2125</v>
      </c>
      <c r="E411" s="6" t="s">
        <v>2126</v>
      </c>
      <c r="F411" s="6" t="s">
        <v>2127</v>
      </c>
    </row>
    <row r="412" spans="1:6" ht="28.8">
      <c r="A412" s="85">
        <f t="shared" si="13"/>
        <v>1</v>
      </c>
      <c r="B412" s="6" t="str">
        <f t="shared" si="14"/>
        <v>Prefilled data (contains free text) – edit information or value if necessary (will not affect calculation/formulas)</v>
      </c>
      <c r="C412" s="6" t="s">
        <v>2128</v>
      </c>
      <c r="D412" s="6" t="s">
        <v>2129</v>
      </c>
      <c r="E412" s="6" t="s">
        <v>2130</v>
      </c>
      <c r="F412" s="6" t="s">
        <v>2131</v>
      </c>
    </row>
    <row r="413" spans="1:6">
      <c r="A413" s="85">
        <f t="shared" si="13"/>
        <v>1</v>
      </c>
      <c r="B413" s="6" t="str">
        <f t="shared" si="14"/>
        <v>Deeplex WebApp</v>
      </c>
      <c r="C413" s="6" t="s">
        <v>2132</v>
      </c>
      <c r="D413" s="6" t="s">
        <v>2132</v>
      </c>
      <c r="E413" s="6" t="s">
        <v>2132</v>
      </c>
      <c r="F413" s="6" t="s">
        <v>2132</v>
      </c>
    </row>
    <row r="414" spans="1:6" ht="28.8">
      <c r="A414" s="85">
        <f t="shared" si="13"/>
        <v>1</v>
      </c>
      <c r="B414" s="6" t="str">
        <f t="shared" si="14"/>
        <v>Total number of samples for which the platform is used (for all pathogens)</v>
      </c>
      <c r="C414" s="6" t="s">
        <v>2133</v>
      </c>
      <c r="D414" s="6" t="s">
        <v>2134</v>
      </c>
      <c r="E414" s="6" t="s">
        <v>2135</v>
      </c>
      <c r="F414" s="6" t="s">
        <v>2136</v>
      </c>
    </row>
    <row r="415" spans="1:6" ht="28.8">
      <c r="A415" s="85">
        <f t="shared" si="13"/>
        <v>1</v>
      </c>
      <c r="B415" s="6" t="str">
        <f t="shared" si="14"/>
        <v>Number of samples in this costing scenario for which the platform is used (for the costed pathogens)</v>
      </c>
      <c r="C415" s="6" t="s">
        <v>2137</v>
      </c>
      <c r="D415" s="6" t="s">
        <v>2138</v>
      </c>
      <c r="E415" s="6" t="s">
        <v>2139</v>
      </c>
      <c r="F415" s="6" t="s">
        <v>2140</v>
      </c>
    </row>
    <row r="416" spans="1:6">
      <c r="A416" s="85">
        <f t="shared" si="13"/>
        <v>1</v>
      </c>
      <c r="B416" s="6" t="str">
        <f t="shared" si="14"/>
        <v>Genomics costing tool, second edition</v>
      </c>
      <c r="C416" s="6" t="s">
        <v>690</v>
      </c>
      <c r="D416" s="6" t="s">
        <v>691</v>
      </c>
      <c r="E416" s="6" t="s">
        <v>692</v>
      </c>
      <c r="F416" s="6" t="s">
        <v>693</v>
      </c>
    </row>
    <row r="417" spans="1:6">
      <c r="A417" s="85">
        <f t="shared" si="13"/>
        <v>1</v>
      </c>
      <c r="B417" s="6" t="str">
        <f t="shared" si="14"/>
        <v>Web Annex</v>
      </c>
      <c r="C417" s="6" t="s">
        <v>2141</v>
      </c>
      <c r="D417" s="6" t="s">
        <v>2142</v>
      </c>
      <c r="E417" s="6" t="s">
        <v>2143</v>
      </c>
      <c r="F417" s="6" t="s">
        <v>2144</v>
      </c>
    </row>
    <row r="418" spans="1:6">
      <c r="A418" s="85">
        <f t="shared" si="13"/>
        <v>1</v>
      </c>
      <c r="B418" s="6" t="str">
        <f t="shared" si="14"/>
        <v>Abstract</v>
      </c>
      <c r="C418" s="6" t="s">
        <v>2145</v>
      </c>
      <c r="D418" s="6" t="s">
        <v>2146</v>
      </c>
      <c r="E418" s="6" t="s">
        <v>2147</v>
      </c>
      <c r="F418" s="6" t="s">
        <v>2148</v>
      </c>
    </row>
    <row r="419" spans="1:6" ht="28.8">
      <c r="A419" s="85">
        <f t="shared" si="13"/>
        <v>1</v>
      </c>
      <c r="B419" s="6" t="str">
        <f t="shared" si="14"/>
        <v>Genomics costing tool: user manual, second edition. Geneva: World Health Organization; 2026.</v>
      </c>
      <c r="C419" s="6" t="s">
        <v>2296</v>
      </c>
      <c r="D419" s="6" t="s">
        <v>2297</v>
      </c>
      <c r="E419" s="717" t="s">
        <v>2298</v>
      </c>
      <c r="F419" s="6" t="s">
        <v>2299</v>
      </c>
    </row>
    <row r="420" spans="1:6" ht="43.2">
      <c r="A420" s="85">
        <f t="shared" si="13"/>
        <v>1</v>
      </c>
      <c r="B420" s="6" t="str">
        <f t="shared" si="14"/>
        <v>The documents were developed by the Association of Public Health Laboratories (APHL), FIND, the UK Health Security Agency (UKHSA) and WHO.</v>
      </c>
      <c r="C420" s="6" t="s">
        <v>2149</v>
      </c>
      <c r="D420" s="6" t="s">
        <v>2150</v>
      </c>
      <c r="E420" s="6" t="s">
        <v>2151</v>
      </c>
      <c r="F420" s="6" t="s">
        <v>2152</v>
      </c>
    </row>
    <row r="421" spans="1:6">
      <c r="A421" s="85">
        <f t="shared" si="13"/>
        <v>1</v>
      </c>
      <c r="B421" s="6" t="str">
        <f t="shared" si="14"/>
        <v>For further information, please contact</v>
      </c>
      <c r="C421" s="6" t="s">
        <v>2294</v>
      </c>
      <c r="D421" s="6" t="s">
        <v>2291</v>
      </c>
      <c r="E421" s="6" t="s">
        <v>2292</v>
      </c>
      <c r="F421" s="6" t="s">
        <v>2293</v>
      </c>
    </row>
    <row r="422" spans="1:6">
      <c r="A422" s="85">
        <f t="shared" si="13"/>
        <v>1</v>
      </c>
      <c r="B422" s="6" t="str">
        <f t="shared" si="14"/>
        <v>Document number: WHO/WHE/EPM/MCM/TL./2025.1</v>
      </c>
      <c r="C422" s="6" t="s">
        <v>2153</v>
      </c>
      <c r="D422" s="6" t="s">
        <v>2154</v>
      </c>
      <c r="E422" s="6" t="s">
        <v>2155</v>
      </c>
      <c r="F422" s="6" t="s">
        <v>2156</v>
      </c>
    </row>
    <row r="423" spans="1:6" ht="72">
      <c r="A423" s="85">
        <f t="shared" si="13"/>
        <v>1</v>
      </c>
      <c r="B423" s="6" t="str">
        <f t="shared" si="14"/>
        <v>Please review the Genomics costing tool: user manual, second edition. Geneva: World Health Organization; 2026. https://iris.who.int/handle/10665/384933. Licence: CC BY-NC-SA 3.0 IGO. carefully before using this tool. The tool is completed in a series of steps:</v>
      </c>
      <c r="C423" s="6" t="s">
        <v>2304</v>
      </c>
      <c r="D423" s="6" t="s">
        <v>2305</v>
      </c>
      <c r="E423" s="6" t="s">
        <v>2306</v>
      </c>
      <c r="F423" s="6" t="s">
        <v>2309</v>
      </c>
    </row>
    <row r="424" spans="1:6" ht="72">
      <c r="A424" s="85">
        <f t="shared" si="13"/>
        <v>1</v>
      </c>
      <c r="B424" s="6" t="str">
        <f t="shared" si="14"/>
        <v>Step 1. Data entry sheet: Complete the information on the genomic sequencing for which you are performing the costing. Ensure that you complete the tool from top to bottom. If a note is asking you to complete cells in a different line, do so first before moving down. Refer to the colour-coding key below.</v>
      </c>
      <c r="C424" s="6" t="s">
        <v>2157</v>
      </c>
      <c r="D424" s="6" t="s">
        <v>2158</v>
      </c>
      <c r="E424" s="6" t="s">
        <v>2159</v>
      </c>
      <c r="F424" s="6" t="s">
        <v>2160</v>
      </c>
    </row>
    <row r="425" spans="1:6" ht="43.2">
      <c r="A425" s="85">
        <f t="shared" si="13"/>
        <v>1</v>
      </c>
      <c r="B425" s="6" t="str">
        <f t="shared" si="14"/>
        <v>Step 2. Once the “Data entry” sheet is completed, review the output in the “Reagents and consumables” and “Equipment” sheets, especially the prices. Complete any missing information</v>
      </c>
      <c r="C425" s="6" t="s">
        <v>2161</v>
      </c>
      <c r="D425" s="6" t="s">
        <v>2162</v>
      </c>
      <c r="E425" s="6" t="s">
        <v>2163</v>
      </c>
      <c r="F425" s="6" t="s">
        <v>2164</v>
      </c>
    </row>
    <row r="426" spans="1:6" ht="28.8">
      <c r="A426" s="85">
        <f t="shared" si="13"/>
        <v>1</v>
      </c>
      <c r="B426" s="6" t="str">
        <f t="shared" si="14"/>
        <v xml:space="preserve">Step 3. Fill in the rest of the sheets: “Personnel and training”, “Facility and transport”, “Bioinformatics”, and “Quality management” </v>
      </c>
      <c r="C426" s="6" t="s">
        <v>2165</v>
      </c>
      <c r="D426" s="6" t="s">
        <v>2166</v>
      </c>
      <c r="E426" s="6" t="s">
        <v>2167</v>
      </c>
      <c r="F426" s="6" t="s">
        <v>2168</v>
      </c>
    </row>
    <row r="427" spans="1:6" ht="72">
      <c r="A427" s="85">
        <f t="shared" si="13"/>
        <v>1</v>
      </c>
      <c r="B427" s="6" t="str">
        <f t="shared" si="14"/>
        <v>Step 4. Once the tool is completed and the data is carefully reviewed, go to the “Results – USD” sheet for the breakdown of costs. If you enter a USD-local currency conversion rate in the “Reagents and consumables” sheet in cell O2, you can view the breakdowns in the local currency in the “Results - local currency” sheet</v>
      </c>
      <c r="C427" s="6" t="s">
        <v>2169</v>
      </c>
      <c r="D427" s="6" t="s">
        <v>2170</v>
      </c>
      <c r="E427" s="6" t="s">
        <v>2171</v>
      </c>
      <c r="F427" s="6" t="s">
        <v>2172</v>
      </c>
    </row>
    <row r="428" spans="1:6">
      <c r="A428" s="85">
        <f t="shared" si="13"/>
        <v>1</v>
      </c>
      <c r="B428" s="6" t="str">
        <f t="shared" si="14"/>
        <v>© World Health Organization 2026</v>
      </c>
      <c r="C428" s="6" t="s">
        <v>2173</v>
      </c>
      <c r="D428" s="6" t="s">
        <v>2174</v>
      </c>
      <c r="E428" s="6" t="s">
        <v>2175</v>
      </c>
      <c r="F428" s="6" t="s">
        <v>2176</v>
      </c>
    </row>
    <row r="429" spans="1:6" ht="409.5">
      <c r="A429" s="85">
        <f t="shared" si="13"/>
        <v>1</v>
      </c>
      <c r="B429" s="6" t="str">
        <f t="shared" si="14"/>
        <v>Some rights reserved. This work is available under the Creative Commons Attribution-NonCommercial-ShareAlike 3.0 IGO licence (CC BY-NC-SA 3.0 IGO; https://creativecommons.org/licenses/by-nc-sa/3.0/igo).
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 “This translation was not created by the World Health Organization (WHO). WHO is not responsible for the content or accuracy of this translation. The original English edition shall be the binding and authentic edition”.
Any mediation relating to disputes arising under the licence shall be conducted in accordance with the mediation rules of the World Intellectual Property Organization (http://www.wipo.int/amc/en/mediation/rules/).
Suggested citation. Genomics costing tool, second edition. Geneva: World Health Organization; 2026. https://doi.org/10.2471/B09722. Licence: CC BY-NC-SA 3.0 IGO.
Cataloguing-in-Publication (CIP) data. CIP data are available at https://iris.who.int/.
Sales, rights and licensing. To purchase WHO publications, see https://www.who.int/publications/book-orders. To submit requests for commercial use and queries on rights and licensing, see https://www.who.int/copyright.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
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v>
      </c>
      <c r="C429" s="6" t="s">
        <v>2177</v>
      </c>
      <c r="D429" s="6" t="s">
        <v>2178</v>
      </c>
      <c r="E429" s="6" t="s">
        <v>2179</v>
      </c>
      <c r="F429" s="6" t="s">
        <v>2180</v>
      </c>
    </row>
    <row r="430" spans="1:6">
      <c r="A430" s="85">
        <f t="shared" si="13"/>
        <v>1</v>
      </c>
      <c r="B430" s="6" t="str">
        <f t="shared" si="14"/>
        <v>Geneious</v>
      </c>
      <c r="C430" s="6" t="s">
        <v>2181</v>
      </c>
      <c r="D430" s="6" t="s">
        <v>2181</v>
      </c>
      <c r="E430" s="6" t="s">
        <v>2181</v>
      </c>
      <c r="F430" s="6" t="s">
        <v>2182</v>
      </c>
    </row>
    <row r="431" spans="1:6">
      <c r="A431" s="85">
        <f t="shared" si="13"/>
        <v>1</v>
      </c>
      <c r="B431" s="6" t="str">
        <f t="shared" si="14"/>
        <v>Calculated costs – Facility</v>
      </c>
      <c r="C431" s="6" t="s">
        <v>2183</v>
      </c>
      <c r="D431" s="6" t="s">
        <v>2184</v>
      </c>
      <c r="E431" s="6" t="s">
        <v>2185</v>
      </c>
      <c r="F431" s="6" t="s">
        <v>2186</v>
      </c>
    </row>
    <row r="432" spans="1:6">
      <c r="A432" s="85">
        <f t="shared" si="13"/>
        <v>1</v>
      </c>
      <c r="B432" s="6" t="str">
        <f t="shared" si="14"/>
        <v>Calculated costs – Quality management</v>
      </c>
      <c r="C432" s="6" t="s">
        <v>2187</v>
      </c>
      <c r="D432" s="6" t="s">
        <v>2188</v>
      </c>
      <c r="E432" s="6" t="s">
        <v>2189</v>
      </c>
      <c r="F432" s="6" t="s">
        <v>2190</v>
      </c>
    </row>
    <row r="433" spans="1:6">
      <c r="A433" s="85">
        <f t="shared" si="13"/>
        <v>1</v>
      </c>
      <c r="B433" s="6" t="str">
        <f t="shared" si="14"/>
        <v>Calculated costs – Facility and transport</v>
      </c>
      <c r="C433" s="6" t="s">
        <v>2191</v>
      </c>
      <c r="D433" s="6" t="s">
        <v>2192</v>
      </c>
      <c r="E433" s="6" t="s">
        <v>2193</v>
      </c>
      <c r="F433" s="6" t="s">
        <v>2194</v>
      </c>
    </row>
    <row r="434" spans="1:6">
      <c r="A434" s="85">
        <f t="shared" si="13"/>
        <v>1</v>
      </c>
      <c r="B434" s="6" t="str">
        <f t="shared" si="14"/>
        <v>Calculated costs – Personnel and training</v>
      </c>
      <c r="C434" s="6" t="s">
        <v>2195</v>
      </c>
      <c r="D434" s="6" t="s">
        <v>2196</v>
      </c>
      <c r="E434" s="6" t="s">
        <v>2197</v>
      </c>
      <c r="F434" s="6" t="s">
        <v>2198</v>
      </c>
    </row>
    <row r="435" spans="1:6">
      <c r="A435" s="85">
        <f t="shared" si="13"/>
        <v>1</v>
      </c>
      <c r="B435" s="6" t="str">
        <f t="shared" si="14"/>
        <v>Calculated costs – Reagents and consumables</v>
      </c>
      <c r="C435" s="6" t="s">
        <v>2199</v>
      </c>
      <c r="D435" s="6" t="s">
        <v>2200</v>
      </c>
      <c r="E435" s="6" t="s">
        <v>2201</v>
      </c>
      <c r="F435" s="6" t="s">
        <v>2202</v>
      </c>
    </row>
    <row r="436" spans="1:6">
      <c r="A436" s="85">
        <f t="shared" si="13"/>
        <v>1</v>
      </c>
      <c r="B436" s="6" t="str">
        <f t="shared" si="14"/>
        <v>Calculated costs – Equipment</v>
      </c>
      <c r="C436" s="6" t="s">
        <v>2203</v>
      </c>
      <c r="D436" s="6" t="s">
        <v>2204</v>
      </c>
      <c r="E436" s="6" t="s">
        <v>2205</v>
      </c>
      <c r="F436" s="6" t="s">
        <v>2206</v>
      </c>
    </row>
    <row r="437" spans="1:6" ht="28.8">
      <c r="A437" s="85">
        <f t="shared" si="13"/>
        <v>1</v>
      </c>
      <c r="B437" s="6" t="str">
        <f t="shared" si="14"/>
        <v>The number of barcodes is equivalent to the number of samples as per the instruction for use (where available)</v>
      </c>
      <c r="C437" s="6" t="s">
        <v>2207</v>
      </c>
      <c r="D437" s="6" t="s">
        <v>2208</v>
      </c>
      <c r="E437" s="6" t="s">
        <v>2209</v>
      </c>
      <c r="F437" s="6" t="s">
        <v>2210</v>
      </c>
    </row>
    <row r="438" spans="1:6">
      <c r="A438" s="85">
        <f t="shared" si="13"/>
        <v>1</v>
      </c>
      <c r="B438" s="6" t="str">
        <f t="shared" si="14"/>
        <v xml:space="preserve">Acknowledgements </v>
      </c>
      <c r="C438" s="6" t="s">
        <v>2211</v>
      </c>
      <c r="D438" s="6" t="s">
        <v>2212</v>
      </c>
      <c r="E438" s="6" t="s">
        <v>2213</v>
      </c>
      <c r="F438" s="6" t="s">
        <v>2214</v>
      </c>
    </row>
    <row r="439" spans="1:6" ht="100.8">
      <c r="A439" s="85">
        <f t="shared" si="13"/>
        <v>1</v>
      </c>
      <c r="B439" s="6" t="str">
        <f t="shared" si="14"/>
        <v>The World Health Organization (WHO) would like to thank the many individuals who contributed to the development of this costing tool. 
The second edition of the Genomics Costing Tool (GCT) and its user manual were co-developed by four institutions: the Association of Public Health Laboratories (APHL), FIND, the United Kingdom Health Security Agency (UKHSA) and WHO.</v>
      </c>
      <c r="C439" s="6" t="s">
        <v>2307</v>
      </c>
      <c r="D439" s="6" t="s">
        <v>2308</v>
      </c>
      <c r="E439" s="6" t="s">
        <v>2310</v>
      </c>
      <c r="F439" s="6" t="s">
        <v>2311</v>
      </c>
    </row>
    <row r="440" spans="1:6">
      <c r="A440" s="85">
        <f t="shared" si="13"/>
        <v>1</v>
      </c>
      <c r="B440" s="6" t="str">
        <f t="shared" si="14"/>
        <v>Leadership and coordination</v>
      </c>
      <c r="C440" s="6" t="s">
        <v>2215</v>
      </c>
      <c r="D440" s="6" t="s">
        <v>2216</v>
      </c>
      <c r="E440" s="6" t="s">
        <v>2217</v>
      </c>
      <c r="F440" s="6" t="s">
        <v>2218</v>
      </c>
    </row>
    <row r="441" spans="1:6" ht="144">
      <c r="A441" s="85">
        <f t="shared" si="13"/>
        <v>1</v>
      </c>
      <c r="B441" s="6" t="str">
        <f t="shared" si="14"/>
        <v>WHO provided leadership and coordination for the development and publication of the GCT. The technical development of the tool was led by Alexandr Jaguparov (Infectious Hazard Management, WHO Regional Office for Europe) under the supervision of Joanna Salvi Le Garrec Zwetyenga (Infectious Hazard Management, WHO Regional Office for Europe). The development of the user manual was co-led by Ashley Bolding (APHL, United States of America) and Toni Whistler (APHL, USA). Oluwatosin Wuraola Akande (Department of Epidemic and Pandemic Management, WHO headquarters) led the overall coordination of the GCT project.</v>
      </c>
      <c r="C441" s="6" t="s">
        <v>2266</v>
      </c>
      <c r="D441" s="6" t="s">
        <v>2267</v>
      </c>
      <c r="E441" s="6" t="s">
        <v>2268</v>
      </c>
      <c r="F441" s="6" t="s">
        <v>2275</v>
      </c>
    </row>
    <row r="442" spans="1:6">
      <c r="A442" s="85">
        <f t="shared" si="13"/>
        <v>1</v>
      </c>
      <c r="B442" s="6" t="str">
        <f t="shared" si="14"/>
        <v>Core technical team</v>
      </c>
      <c r="C442" s="6" t="s">
        <v>2219</v>
      </c>
      <c r="D442" s="6" t="s">
        <v>2220</v>
      </c>
      <c r="E442" s="6" t="s">
        <v>2221</v>
      </c>
      <c r="F442" s="6" t="s">
        <v>2222</v>
      </c>
    </row>
    <row r="443" spans="1:6" ht="201.6">
      <c r="A443" s="85">
        <f t="shared" si="13"/>
        <v>1</v>
      </c>
      <c r="B443" s="6" t="str">
        <f t="shared" si="14"/>
        <v>The following members of the GCT working group made substantial intellectual input by contributing to the scoping, technical concept, development, writing and review of the GCT and its user manual: Babak Afrough (UKHSA, United Kingdom of Great Britain and Northern Ireland), Oluwatosin Wuraola Akande (Department of Epidemic and Pandemic Management, WHO headquarters), Ashley Bolding (APHL, USA), Alexandr Jaguparov (Infectious Hazard Management, WHO Regional Office for Europe), Beatrix Kele (UKHSA, United Kingdom), Marco Marklewitz (FIND, Switzerland), Biran Musul (WHO Country Office for Türkiye), Angela Poates (APHL, USA), Joanna Salvi Le Garrec Zwetyenga (Infectious Hazard Management, WHO Regional Office for Europe), Toni Whistler (APHL, USA), Aude Wilhelm (UKHSA, United Kingdom; WHO Hub for Pandemic and Epidemic Intelligence, WHO headquarters).</v>
      </c>
      <c r="C443" s="6" t="s">
        <v>2269</v>
      </c>
      <c r="D443" s="6" t="s">
        <v>2270</v>
      </c>
      <c r="E443" s="6" t="s">
        <v>2271</v>
      </c>
      <c r="F443" s="6" t="s">
        <v>2276</v>
      </c>
    </row>
    <row r="444" spans="1:6">
      <c r="A444" s="85">
        <f t="shared" si="13"/>
        <v>1</v>
      </c>
      <c r="B444" s="6" t="str">
        <f t="shared" si="14"/>
        <v>Contributors</v>
      </c>
      <c r="C444" s="6" t="s">
        <v>2223</v>
      </c>
      <c r="D444" s="6" t="s">
        <v>2224</v>
      </c>
      <c r="E444" s="6" t="s">
        <v>2225</v>
      </c>
      <c r="F444" s="6" t="s">
        <v>2226</v>
      </c>
    </row>
    <row r="445" spans="1:6" ht="187.2">
      <c r="A445" s="85">
        <f t="shared" si="13"/>
        <v>1</v>
      </c>
      <c r="B445" s="6" t="str">
        <f t="shared" si="14"/>
        <v>The following provided support to the scoping and review of the tool: Silvia Argimon (WHO Hub for Pandemic and Epidemic Intelligence, WHO headquarters), Josefina Campos (WHO Hub for Pandemic and Epidemic Intelligence, WHO headquarters), Soudeh Ehsani (Division of Communicable Diseases, Environment and Health, WHO Regional Office for Europe), Sophia Georghiou (Global Programme on Tuberculosis and Lung Health, WHO headquarters), Nicksy Gumede-Moeletsi (WHO Regional Office for Africa), Noah Hull (APHL, USA), Adolfo Lara (APHL, USA), Miguel Moreno-Molina (FIND, Switzerland), Dmitriy Pereyaslov (Department of Epidemic and Pandemic Management, WHO headquarters), Julia Pringle (APHL, USA), Jessica Rowland (APHL, USA), Anita Suresh (FIND, Switzerland), Swapna Uplekar (FIND, Switzerland).</v>
      </c>
      <c r="C445" s="6" t="s">
        <v>2272</v>
      </c>
      <c r="D445" s="6" t="s">
        <v>2273</v>
      </c>
      <c r="E445" s="6" t="s">
        <v>2274</v>
      </c>
      <c r="F445" s="6" t="s">
        <v>2277</v>
      </c>
    </row>
    <row r="446" spans="1:6">
      <c r="A446" s="85">
        <f t="shared" si="13"/>
        <v>1</v>
      </c>
      <c r="B446" s="6" t="str">
        <f t="shared" si="14"/>
        <v>External reviewers</v>
      </c>
      <c r="C446" s="6" t="s">
        <v>2227</v>
      </c>
      <c r="D446" s="6" t="s">
        <v>2228</v>
      </c>
      <c r="E446" s="6" t="s">
        <v>2229</v>
      </c>
      <c r="F446" s="6" t="s">
        <v>2230</v>
      </c>
    </row>
    <row r="447" spans="1:6" ht="409.5">
      <c r="A447" s="85">
        <f t="shared" si="13"/>
        <v>1</v>
      </c>
      <c r="B447" s="6" t="str">
        <f t="shared" si="14"/>
        <v>The GCT working group extends its sincere appreciation to all the institutions and public health laboratories whose collaborative efforts in the tool review and pilot exercise were instrumental in validating the second edition of the GCT: Zhyldyz Atambekova (Kyrgyz Research Institute of Veterinary Medicine named after Arstanbek Duisheev of the Ministry of Agriculture of the Kyrgyz Republic, Kyrgyzstan), Soany Mariela Avilez (National Health Surveillance Laboratory/ National Virology Laboratory of the Ministry of Health (SESAL), Honduras), Zhyldyz Bekturova (Laboratory of Molecular Genetics and Virology, Department of Disease Prevention and State Sanitary and Epidemiological Surveillance of the Ministry of Health of the Kyrgyz Republic, Kyrgyzstan), Veronica Burlac (National Reference Laboratory in Genomic Sequencing, National Agency for Public Health, Ministry of Health of the Republic of Moldova, Republic of Moldova), Valeria Ceban (National Reference Laboratory in Genomic Sequencing, National Agency for Public Health, Ministry of Health of the Republic of Moldova, Republic of Moldova), Elena Chesov (Laboratory of Genetics, Center of Personalized Medicine, State University of Medicine and Pharmacy “Nicolae Testemițanu”, Republic of Moldova), Nelly Ciobanu (National Tuberculosis Reference Laboratory, PMSI Institute of Pneumology “Chiril Draganiuc”, Republic of Moldova), Alexandru Codreanu (National Tuberculosis Reference Laboratory, PMSI Institute of Pneumology “Chiril Draganiuc”, Republic of Moldova), Svetlana Colac (National Reference Laboratory in Genomic Sequencing, National Agency for Public Health, Ministry of Health of the Republic of Moldova, Republic of Moldova), Tolkun Isakova (National reference laboratory for TB, National Center of Phthisiology of the Ministry of Health of the Kyrgyz Republic, Kyrgyzstan), Baarinisa Iskanova (Reference laboratory for the diagnosis of viral hepatitis and HIV, Republican Center for the Control of Blood-Borne Viral Hepatitis and HIV, Ministry of Health of the Kyrgyz Republic, Kyrgyzstan), Gulmira Kalmambetova (National reference laboratory for TB, National Center of Phthisiology of the Ministry of Health of the Kyrgyz Republic, Kyrgyzstan), Khoo Yoong Khean (Duke-NUS Centre for Outbreak Preparedness, Singapore), Shurendar Selva Kumar (Duke-NUS Centre for Outbreak Preparedness, Singapore), Gulshan Mataeva (National reference laboratory for TB, National Center of Phthisiology of the Ministry of Health of the Kyrgyz Republic, Kyrgyzstan), Gulmira Orozalieva (Laboratory of Molecular Genetics and Virology, Department of Disease Prevention and State Sanitary and Epidemiological Surveillance of the Ministry of Health of the Kyrgyz Republic, Kyrgyzstan), Paul Michael Pronyk (Duke-NUS Centre for Outbreak Preparedness, Singapore), Stela Racovita (Laboratory of Genetics, Center of Personalized Medicine, State University of Medicine and Pharmacy “Nicolae Testemițanu”, Republic of Moldova), Karla Dariela Romero (National Health Surveillance Laboratory/ National Virology Laboratory of the Ministry of Health (SESAL), Honduras),  Adyl Ryspaev (Laboratory of Molecular Genetics and Virology, Department of Disease Prevention and State Sanitary and Epidemiological Surveillance of the Ministry of Health of the Kyrgyz Republic, Kyrgyzstan), Gulbarchyn Saparova (National reference laboratory for TB, National Center of Phthisiology of the Ministry of Health of the Kyrgyz Republic, Kyrgyzstan), Victor Sitnic (National Reference Laboratory in Genomic Sequencing, National Agency for Public Health, Ministry of Health of the Republic of Moldova, Republic of Moldova), Alexandra Suruceanu (National Reference Laboratory in Genomic Sequencing, National Agency for Public Health, Ministry of Health of the Republic of Moldova, Republic of Moldova), Meerbubu Sydykova (National reference laboratory for TB, National Center of Phthisiology of the Ministry of Health of the Kyrgyz Republic, Kyrgyzstan), Ada Mariela Vidal (National Health Surveillance Laboratory/ National Virology Laboratory of the Ministry of Health (SESAL), Honduras), Ecaterina Zazuc (National Reference Laboratory in Genomic Sequencing, National Agency for Public Health, Ministry of Health of the Republic of Moldova, Republic of Moldova).</v>
      </c>
      <c r="C447" s="6" t="s">
        <v>2231</v>
      </c>
      <c r="D447" s="6" t="s">
        <v>2232</v>
      </c>
      <c r="E447" s="6" t="s">
        <v>2233</v>
      </c>
      <c r="F447" s="6" t="s">
        <v>2234</v>
      </c>
    </row>
    <row r="448" spans="1:6">
      <c r="A448" s="85">
        <f t="shared" si="13"/>
        <v>1</v>
      </c>
      <c r="B448" s="6" t="str">
        <f t="shared" si="14"/>
        <v>Universal One-Step RT-qPCR Kit (200 rxns)</v>
      </c>
      <c r="C448" s="6" t="s">
        <v>2235</v>
      </c>
      <c r="D448" s="6" t="s">
        <v>2236</v>
      </c>
      <c r="E448" s="6" t="s">
        <v>2237</v>
      </c>
      <c r="F448" t="s">
        <v>2238</v>
      </c>
    </row>
    <row r="449" spans="1:6">
      <c r="A449" s="85">
        <f t="shared" si="13"/>
        <v>1</v>
      </c>
      <c r="B449" s="6" t="str">
        <f t="shared" si="14"/>
        <v>Q5 Hot Start HiFi DNA Polymerase (500 units)</v>
      </c>
      <c r="C449" s="6" t="s">
        <v>2239</v>
      </c>
      <c r="D449" s="6" t="s">
        <v>2240</v>
      </c>
      <c r="E449" s="6" t="s">
        <v>2241</v>
      </c>
      <c r="F449" t="s">
        <v>2242</v>
      </c>
    </row>
    <row r="450" spans="1:6">
      <c r="A450" s="85">
        <f t="shared" si="13"/>
        <v>1</v>
      </c>
      <c r="B450" s="6" t="str">
        <f t="shared" si="14"/>
        <v>10mM dNTP (5x1mL)</v>
      </c>
      <c r="C450" s="6" t="s">
        <v>2243</v>
      </c>
      <c r="D450" s="6" t="s">
        <v>2244</v>
      </c>
      <c r="E450" s="6" t="s">
        <v>2245</v>
      </c>
      <c r="F450" t="s">
        <v>2246</v>
      </c>
    </row>
    <row r="451" spans="1:6">
      <c r="A451" s="85">
        <f t="shared" si="13"/>
        <v>1</v>
      </c>
      <c r="B451" s="6" t="str">
        <f t="shared" si="14"/>
        <v>dS DNA HS assay kit for fluoremeter (500)</v>
      </c>
      <c r="C451" s="6" t="s">
        <v>2247</v>
      </c>
      <c r="D451" s="6" t="s">
        <v>2248</v>
      </c>
      <c r="E451" s="6" t="s">
        <v>2249</v>
      </c>
      <c r="F451" t="s">
        <v>2250</v>
      </c>
    </row>
    <row r="452" spans="1:6">
      <c r="A452" s="85">
        <f t="shared" ref="A452:A500" si="15">$B$2</f>
        <v>1</v>
      </c>
      <c r="B452" s="6" t="str">
        <f t="shared" si="14"/>
        <v>High sensitivity DNA assay kit for bioanalyser (110 samples)</v>
      </c>
      <c r="C452" s="6" t="s">
        <v>2251</v>
      </c>
      <c r="D452" s="6" t="s">
        <v>2252</v>
      </c>
      <c r="E452" s="6" t="s">
        <v>2253</v>
      </c>
      <c r="F452" t="s">
        <v>2254</v>
      </c>
    </row>
    <row r="453" spans="1:6">
      <c r="A453" s="85">
        <f t="shared" si="15"/>
        <v>1</v>
      </c>
      <c r="B453" s="6" t="str">
        <f t="shared" ref="B453:B500" si="16">IF($B$2=1,C453,IF($B$2=2,D453,IF($B$2=3,E453,F453)))</f>
        <v xml:space="preserve">ONT Flow cell wash kit </v>
      </c>
      <c r="C453" s="6" t="s">
        <v>2255</v>
      </c>
      <c r="D453" s="6" t="s">
        <v>2256</v>
      </c>
      <c r="E453" s="6" t="s">
        <v>2257</v>
      </c>
      <c r="F453" t="s">
        <v>2258</v>
      </c>
    </row>
    <row r="454" spans="1:6">
      <c r="A454" s="85">
        <f t="shared" si="15"/>
        <v>1</v>
      </c>
      <c r="B454" s="6" t="str">
        <f t="shared" si="16"/>
        <v>Reagent</v>
      </c>
      <c r="C454" s="6" t="s">
        <v>567</v>
      </c>
      <c r="D454" s="6" t="s">
        <v>2259</v>
      </c>
      <c r="E454" s="6" t="s">
        <v>2260</v>
      </c>
      <c r="F454" t="s">
        <v>2261</v>
      </c>
    </row>
    <row r="455" spans="1:6">
      <c r="A455" s="85">
        <f t="shared" si="15"/>
        <v>1</v>
      </c>
      <c r="B455" s="6" t="str">
        <f t="shared" si="16"/>
        <v>Consumable</v>
      </c>
      <c r="C455" s="6" t="s">
        <v>2262</v>
      </c>
      <c r="D455" s="6" t="s">
        <v>2263</v>
      </c>
      <c r="E455" s="6" t="s">
        <v>2264</v>
      </c>
      <c r="F455" s="6" t="s">
        <v>2265</v>
      </c>
    </row>
    <row r="456" spans="1:6" ht="61.5" customHeight="1">
      <c r="A456" s="85">
        <f t="shared" si="15"/>
        <v>1</v>
      </c>
      <c r="B456" s="6" t="str">
        <f t="shared" si="16"/>
        <v>Enter name of the kit in H25, quantity (packs for all number of samples) in cell I25 and price per pack in J25</v>
      </c>
      <c r="C456" s="6" t="s">
        <v>2278</v>
      </c>
      <c r="D456" s="6" t="s">
        <v>2280</v>
      </c>
      <c r="E456" s="6" t="s">
        <v>2284</v>
      </c>
      <c r="F456" s="6" t="s">
        <v>2282</v>
      </c>
    </row>
    <row r="457" spans="1:6" ht="28.8">
      <c r="A457" s="85">
        <f t="shared" si="15"/>
        <v>1</v>
      </c>
      <c r="B457" s="6" t="str">
        <f t="shared" si="16"/>
        <v>Enter name of the kit in H26, quantity (packs for all number of samples) in cell I26 and price per pack in J26</v>
      </c>
      <c r="C457" s="6" t="s">
        <v>2279</v>
      </c>
      <c r="D457" s="6" t="s">
        <v>2281</v>
      </c>
      <c r="E457" s="6" t="s">
        <v>2285</v>
      </c>
      <c r="F457" s="6" t="s">
        <v>2283</v>
      </c>
    </row>
    <row r="458" spans="1:6">
      <c r="A458" s="85">
        <f t="shared" si="15"/>
        <v>1</v>
      </c>
      <c r="B458" s="6" t="str">
        <f t="shared" si="16"/>
        <v>Licence: CC BY-NC-SA 3.0 IGO.</v>
      </c>
      <c r="C458" s="6" t="s">
        <v>2287</v>
      </c>
      <c r="D458" s="6" t="s">
        <v>2288</v>
      </c>
      <c r="E458" s="717" t="s">
        <v>2289</v>
      </c>
      <c r="F458" s="6" t="s">
        <v>2290</v>
      </c>
    </row>
    <row r="459" spans="1:6" ht="72">
      <c r="A459" s="85">
        <f t="shared" si="15"/>
        <v>1</v>
      </c>
      <c r="B459" s="6" t="str">
        <f t="shared" si="16"/>
        <v>Genomics costing tool, second edition is an Excel-based interactive costing tool. Step-by-step guidance on how to use the tool for cost estimation can be found in the publication Genomics costing tool: user manual, second edition. Geneva: World Health Organization; 2026.</v>
      </c>
      <c r="C459" s="6" t="s">
        <v>2300</v>
      </c>
      <c r="D459" s="6" t="s">
        <v>2301</v>
      </c>
      <c r="E459" s="6" t="s">
        <v>2303</v>
      </c>
      <c r="F459" s="6" t="s">
        <v>2302</v>
      </c>
    </row>
    <row r="460" spans="1:6">
      <c r="A460" s="85">
        <f t="shared" si="15"/>
        <v>1</v>
      </c>
      <c r="B460" s="6">
        <f t="shared" si="16"/>
        <v>0</v>
      </c>
    </row>
    <row r="461" spans="1:6">
      <c r="A461" s="85">
        <f t="shared" si="15"/>
        <v>1</v>
      </c>
      <c r="B461" s="6">
        <f t="shared" si="16"/>
        <v>0</v>
      </c>
    </row>
    <row r="462" spans="1:6">
      <c r="A462" s="85">
        <f t="shared" si="15"/>
        <v>1</v>
      </c>
      <c r="B462" s="6">
        <f t="shared" si="16"/>
        <v>0</v>
      </c>
    </row>
    <row r="463" spans="1:6">
      <c r="A463" s="85">
        <f t="shared" si="15"/>
        <v>1</v>
      </c>
      <c r="B463" s="6">
        <f t="shared" si="16"/>
        <v>0</v>
      </c>
    </row>
    <row r="464" spans="1:6">
      <c r="A464" s="85">
        <f t="shared" si="15"/>
        <v>1</v>
      </c>
      <c r="B464" s="6">
        <f t="shared" si="16"/>
        <v>0</v>
      </c>
    </row>
    <row r="465" spans="1:2">
      <c r="A465" s="85">
        <f t="shared" si="15"/>
        <v>1</v>
      </c>
      <c r="B465" s="6">
        <f t="shared" si="16"/>
        <v>0</v>
      </c>
    </row>
    <row r="466" spans="1:2">
      <c r="A466" s="85">
        <f t="shared" si="15"/>
        <v>1</v>
      </c>
      <c r="B466" s="6">
        <f t="shared" si="16"/>
        <v>0</v>
      </c>
    </row>
    <row r="467" spans="1:2">
      <c r="A467" s="85">
        <f t="shared" si="15"/>
        <v>1</v>
      </c>
      <c r="B467" s="6">
        <f t="shared" si="16"/>
        <v>0</v>
      </c>
    </row>
    <row r="468" spans="1:2">
      <c r="A468" s="85">
        <f t="shared" si="15"/>
        <v>1</v>
      </c>
      <c r="B468" s="6">
        <f t="shared" si="16"/>
        <v>0</v>
      </c>
    </row>
    <row r="469" spans="1:2">
      <c r="A469" s="85">
        <f t="shared" si="15"/>
        <v>1</v>
      </c>
      <c r="B469" s="6">
        <f t="shared" si="16"/>
        <v>0</v>
      </c>
    </row>
    <row r="470" spans="1:2">
      <c r="A470" s="85">
        <f t="shared" si="15"/>
        <v>1</v>
      </c>
      <c r="B470" s="6">
        <f t="shared" si="16"/>
        <v>0</v>
      </c>
    </row>
    <row r="471" spans="1:2">
      <c r="A471" s="85">
        <f t="shared" si="15"/>
        <v>1</v>
      </c>
      <c r="B471" s="6">
        <f t="shared" si="16"/>
        <v>0</v>
      </c>
    </row>
    <row r="472" spans="1:2">
      <c r="A472" s="85">
        <f t="shared" si="15"/>
        <v>1</v>
      </c>
      <c r="B472" s="6">
        <f t="shared" si="16"/>
        <v>0</v>
      </c>
    </row>
    <row r="473" spans="1:2">
      <c r="A473" s="85">
        <f t="shared" si="15"/>
        <v>1</v>
      </c>
      <c r="B473" s="6">
        <f t="shared" si="16"/>
        <v>0</v>
      </c>
    </row>
    <row r="474" spans="1:2">
      <c r="A474" s="85">
        <f t="shared" si="15"/>
        <v>1</v>
      </c>
      <c r="B474" s="6">
        <f t="shared" si="16"/>
        <v>0</v>
      </c>
    </row>
    <row r="475" spans="1:2">
      <c r="A475" s="85">
        <f t="shared" si="15"/>
        <v>1</v>
      </c>
      <c r="B475" s="6">
        <f t="shared" si="16"/>
        <v>0</v>
      </c>
    </row>
    <row r="476" spans="1:2">
      <c r="A476" s="85">
        <f t="shared" si="15"/>
        <v>1</v>
      </c>
      <c r="B476" s="6">
        <f t="shared" si="16"/>
        <v>0</v>
      </c>
    </row>
    <row r="477" spans="1:2">
      <c r="A477" s="85">
        <f t="shared" si="15"/>
        <v>1</v>
      </c>
      <c r="B477" s="6">
        <f t="shared" si="16"/>
        <v>0</v>
      </c>
    </row>
    <row r="478" spans="1:2">
      <c r="A478" s="85">
        <f t="shared" si="15"/>
        <v>1</v>
      </c>
      <c r="B478" s="6">
        <f t="shared" si="16"/>
        <v>0</v>
      </c>
    </row>
    <row r="479" spans="1:2">
      <c r="A479" s="85">
        <f t="shared" si="15"/>
        <v>1</v>
      </c>
      <c r="B479" s="6">
        <f t="shared" si="16"/>
        <v>0</v>
      </c>
    </row>
    <row r="480" spans="1:2">
      <c r="A480" s="85">
        <f t="shared" si="15"/>
        <v>1</v>
      </c>
      <c r="B480" s="6">
        <f t="shared" si="16"/>
        <v>0</v>
      </c>
    </row>
    <row r="481" spans="1:2">
      <c r="A481" s="85">
        <f t="shared" si="15"/>
        <v>1</v>
      </c>
      <c r="B481" s="6">
        <f t="shared" si="16"/>
        <v>0</v>
      </c>
    </row>
    <row r="482" spans="1:2">
      <c r="A482" s="85">
        <f t="shared" si="15"/>
        <v>1</v>
      </c>
      <c r="B482" s="6">
        <f t="shared" si="16"/>
        <v>0</v>
      </c>
    </row>
    <row r="483" spans="1:2">
      <c r="A483" s="85">
        <f t="shared" si="15"/>
        <v>1</v>
      </c>
      <c r="B483" s="6">
        <f t="shared" si="16"/>
        <v>0</v>
      </c>
    </row>
    <row r="484" spans="1:2">
      <c r="A484" s="85">
        <f t="shared" si="15"/>
        <v>1</v>
      </c>
      <c r="B484" s="6">
        <f t="shared" si="16"/>
        <v>0</v>
      </c>
    </row>
    <row r="485" spans="1:2">
      <c r="A485" s="85">
        <f t="shared" si="15"/>
        <v>1</v>
      </c>
      <c r="B485" s="6">
        <f t="shared" si="16"/>
        <v>0</v>
      </c>
    </row>
    <row r="486" spans="1:2">
      <c r="A486" s="85">
        <f t="shared" si="15"/>
        <v>1</v>
      </c>
      <c r="B486" s="6">
        <f t="shared" si="16"/>
        <v>0</v>
      </c>
    </row>
    <row r="487" spans="1:2">
      <c r="A487" s="85">
        <f t="shared" si="15"/>
        <v>1</v>
      </c>
      <c r="B487" s="6">
        <f t="shared" si="16"/>
        <v>0</v>
      </c>
    </row>
    <row r="488" spans="1:2">
      <c r="A488" s="85">
        <f t="shared" si="15"/>
        <v>1</v>
      </c>
      <c r="B488" s="6">
        <f t="shared" si="16"/>
        <v>0</v>
      </c>
    </row>
    <row r="489" spans="1:2">
      <c r="A489" s="85">
        <f t="shared" si="15"/>
        <v>1</v>
      </c>
      <c r="B489" s="6">
        <f t="shared" si="16"/>
        <v>0</v>
      </c>
    </row>
    <row r="490" spans="1:2">
      <c r="A490" s="85">
        <f t="shared" si="15"/>
        <v>1</v>
      </c>
      <c r="B490" s="6">
        <f t="shared" si="16"/>
        <v>0</v>
      </c>
    </row>
    <row r="491" spans="1:2">
      <c r="A491" s="85">
        <f t="shared" si="15"/>
        <v>1</v>
      </c>
      <c r="B491" s="6">
        <f t="shared" si="16"/>
        <v>0</v>
      </c>
    </row>
    <row r="492" spans="1:2">
      <c r="A492" s="85">
        <f t="shared" si="15"/>
        <v>1</v>
      </c>
      <c r="B492" s="6">
        <f t="shared" si="16"/>
        <v>0</v>
      </c>
    </row>
    <row r="493" spans="1:2">
      <c r="A493" s="85">
        <f t="shared" si="15"/>
        <v>1</v>
      </c>
      <c r="B493" s="6">
        <f t="shared" si="16"/>
        <v>0</v>
      </c>
    </row>
    <row r="494" spans="1:2">
      <c r="A494" s="85">
        <f t="shared" si="15"/>
        <v>1</v>
      </c>
      <c r="B494" s="6">
        <f t="shared" si="16"/>
        <v>0</v>
      </c>
    </row>
    <row r="495" spans="1:2">
      <c r="A495" s="85">
        <f t="shared" si="15"/>
        <v>1</v>
      </c>
      <c r="B495" s="6">
        <f t="shared" si="16"/>
        <v>0</v>
      </c>
    </row>
    <row r="496" spans="1:2">
      <c r="A496" s="85">
        <f t="shared" si="15"/>
        <v>1</v>
      </c>
      <c r="B496" s="6">
        <f t="shared" si="16"/>
        <v>0</v>
      </c>
    </row>
    <row r="497" spans="1:2">
      <c r="A497" s="85">
        <f t="shared" si="15"/>
        <v>1</v>
      </c>
      <c r="B497" s="6">
        <f t="shared" si="16"/>
        <v>0</v>
      </c>
    </row>
    <row r="498" spans="1:2">
      <c r="A498" s="85">
        <f t="shared" si="15"/>
        <v>1</v>
      </c>
      <c r="B498" s="6">
        <f t="shared" si="16"/>
        <v>0</v>
      </c>
    </row>
    <row r="499" spans="1:2">
      <c r="A499" s="85">
        <f t="shared" si="15"/>
        <v>1</v>
      </c>
      <c r="B499" s="6">
        <f t="shared" si="16"/>
        <v>0</v>
      </c>
    </row>
    <row r="500" spans="1:2">
      <c r="A500" s="85">
        <f t="shared" si="15"/>
        <v>1</v>
      </c>
      <c r="B500" s="6">
        <f t="shared" si="16"/>
        <v>0</v>
      </c>
    </row>
  </sheetData>
  <sheetProtection algorithmName="SHA-512" hashValue="nKYFhW2iPjP2gI/lZvdA8JaW/P2p31Ed8P9NMbGL6KpO5mPFbBhw9ueDJ/Krs/W6y6wwX55a6L7w6EmLV2g0PQ==" saltValue="df2bWNooTvSR5IbETBOAUA==" spinCount="100000" sheet="1" objects="1" scenarios="1" formatColumns="0" formatRows="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9AC63AE4060A4EB0841E49751518A1" ma:contentTypeVersion="16" ma:contentTypeDescription="Create a new document." ma:contentTypeScope="" ma:versionID="7efbd20944395af3044749fbae802001">
  <xsd:schema xmlns:xsd="http://www.w3.org/2001/XMLSchema" xmlns:xs="http://www.w3.org/2001/XMLSchema" xmlns:p="http://schemas.microsoft.com/office/2006/metadata/properties" xmlns:ns2="ff701802-113d-4d37-b72f-6ed4094120d6" xmlns:ns3="041e83a1-a141-481d-9569-60aed768ca01" xmlns:ns4="36a2e673-aec1-4a31-bb25-5bf0d2fd598e" targetNamespace="http://schemas.microsoft.com/office/2006/metadata/properties" ma:root="true" ma:fieldsID="7dc3c344acd4af5b0185617ba23693be" ns2:_="" ns3:_="" ns4:_="">
    <xsd:import namespace="ff701802-113d-4d37-b72f-6ed4094120d6"/>
    <xsd:import namespace="041e83a1-a141-481d-9569-60aed768ca01"/>
    <xsd:import namespace="36a2e673-aec1-4a31-bb25-5bf0d2fd598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01802-113d-4d37-b72f-6ed4094120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8c835f7-b660-4442-b8c7-c3559f13eec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1e83a1-a141-481d-9569-60aed768ca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a2e673-aec1-4a31-bb25-5bf0d2fd598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53438ae-f6cb-4a7e-9258-146c07004fe5}" ma:internalName="TaxCatchAll" ma:showField="CatchAllData" ma:web="041e83a1-a141-481d-9569-60aed768ca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f701802-113d-4d37-b72f-6ed4094120d6">
      <Terms xmlns="http://schemas.microsoft.com/office/infopath/2007/PartnerControls"/>
    </lcf76f155ced4ddcb4097134ff3c332f>
    <TaxCatchAll xmlns="36a2e673-aec1-4a31-bb25-5bf0d2fd598e" xsi:nil="true"/>
  </documentManagement>
</p:properties>
</file>

<file path=customXml/itemProps1.xml><?xml version="1.0" encoding="utf-8"?>
<ds:datastoreItem xmlns:ds="http://schemas.openxmlformats.org/officeDocument/2006/customXml" ds:itemID="{029AC0FD-B9B4-46BD-9108-EE16B259AEDA}"/>
</file>

<file path=customXml/itemProps2.xml><?xml version="1.0" encoding="utf-8"?>
<ds:datastoreItem xmlns:ds="http://schemas.openxmlformats.org/officeDocument/2006/customXml" ds:itemID="{669D5F6E-E6C4-42E7-9D1C-C8FC86ED483E}">
  <ds:schemaRefs>
    <ds:schemaRef ds:uri="http://schemas.microsoft.com/sharepoint/v3/contenttype/forms"/>
  </ds:schemaRefs>
</ds:datastoreItem>
</file>

<file path=customXml/itemProps3.xml><?xml version="1.0" encoding="utf-8"?>
<ds:datastoreItem xmlns:ds="http://schemas.openxmlformats.org/officeDocument/2006/customXml" ds:itemID="{10F592BF-46D2-4A23-B3A2-28932BB466D6}">
  <ds:schemaRefs>
    <ds:schemaRef ds:uri="http://schemas.microsoft.com/DataMashup"/>
  </ds:schemaRefs>
</ds:datastoreItem>
</file>

<file path=customXml/itemProps4.xml><?xml version="1.0" encoding="utf-8"?>
<ds:datastoreItem xmlns:ds="http://schemas.openxmlformats.org/officeDocument/2006/customXml" ds:itemID="{2E13A3B2-3F4A-4C21-8777-ED5E2A2FEE74}">
  <ds:schemaRefs>
    <ds:schemaRef ds:uri="http://schemas.microsoft.com/office/2006/metadata/properties"/>
    <ds:schemaRef ds:uri="http://schemas.microsoft.com/office/infopath/2007/PartnerControls"/>
    <ds:schemaRef ds:uri="879b05b0-8cec-4c91-8071-4347e0057690"/>
    <ds:schemaRef ds:uri="d51f40c3-5a3d-4183-8728-c40e1993eb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Data entry</vt:lpstr>
      <vt:lpstr>Reagents and consumables</vt:lpstr>
      <vt:lpstr>Equipment</vt:lpstr>
      <vt:lpstr>Personnel and training</vt:lpstr>
      <vt:lpstr>Facility and transport</vt:lpstr>
      <vt:lpstr>Bioinformatics</vt:lpstr>
      <vt:lpstr>Quality management</vt:lpstr>
      <vt:lpstr>Results - USD</vt:lpstr>
      <vt:lpstr>Results - local currency</vt:lpstr>
      <vt:lpstr>Annex1_Library Prep</vt:lpstr>
      <vt:lpstr>Annex2_Equipment</vt:lpstr>
      <vt:lpstr>Annex3_Reagents and Consumables</vt:lpstr>
      <vt:lpstr>Sheet1</vt:lpstr>
      <vt:lpstr>Annex4_Coverage Sample Calc</vt:lpstr>
      <vt:lpstr>Language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MUSUL, Biran</dc:creator>
  <cp:keywords/>
  <dc:description/>
  <cp:lastModifiedBy>Poates, Angela | APHL</cp:lastModifiedBy>
  <cp:revision/>
  <dcterms:created xsi:type="dcterms:W3CDTF">2015-06-05T18:17:20Z</dcterms:created>
  <dcterms:modified xsi:type="dcterms:W3CDTF">2026-04-20T20:41:50Z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0x0101001F9AC63AE4060A4EB0841E49751518A1</vt:lpwstr>
  </property>
  <property fmtid="{D5CDD505-2E9C-101B-9397-08002B2CF9AE}" pid="3" name="MediaServiceImageTags">
    <vt:lpwstr/>
  </property>
</Properties>
</file>